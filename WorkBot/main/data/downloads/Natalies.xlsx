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Will\Desktop\"/>
    </mc:Choice>
  </mc:AlternateContent>
  <xr:revisionPtr revIDLastSave="0" documentId="13_ncr:1_{7B27E619-6970-4ECF-888A-C047927AAED2}" xr6:coauthVersionLast="47" xr6:coauthVersionMax="47" xr10:uidLastSave="{00000000-0000-0000-0000-000000000000}"/>
  <bookViews>
    <workbookView xWindow="28680" yWindow="-120" windowWidth="21840" windowHeight="13140" xr2:uid="{00000000-000D-0000-FFFF-FFFF00000000}"/>
  </bookViews>
  <sheets>
    <sheet name="Natalies" sheetId="1" r:id="rId1"/>
    <sheet name="Price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32" i="1" l="1"/>
  <c r="D33" i="1"/>
  <c r="D34" i="1"/>
  <c r="D35" i="1"/>
  <c r="D36" i="1"/>
  <c r="D37" i="1"/>
  <c r="D38" i="1"/>
  <c r="D31" i="1"/>
  <c r="I32" i="1"/>
  <c r="I33" i="1"/>
  <c r="I34" i="1"/>
  <c r="I35" i="1"/>
  <c r="I36" i="1"/>
  <c r="I37" i="1"/>
  <c r="I38" i="1"/>
  <c r="I31" i="1"/>
  <c r="H32" i="1"/>
  <c r="H33" i="1"/>
  <c r="H34" i="1"/>
  <c r="H35" i="1"/>
  <c r="H36" i="1"/>
  <c r="H37" i="1"/>
  <c r="H38" i="1"/>
  <c r="H31" i="1"/>
  <c r="G32" i="1"/>
  <c r="G33" i="1"/>
  <c r="G34" i="1"/>
  <c r="G35" i="1"/>
  <c r="G36" i="1"/>
  <c r="G37" i="1"/>
  <c r="G38" i="1"/>
  <c r="G31" i="1"/>
  <c r="F32" i="1"/>
  <c r="F33" i="1"/>
  <c r="F34" i="1"/>
  <c r="F35" i="1"/>
  <c r="F36" i="1"/>
  <c r="F37" i="1"/>
  <c r="F38" i="1"/>
  <c r="F31" i="1"/>
  <c r="E32" i="1"/>
  <c r="E33" i="1"/>
  <c r="E34" i="1"/>
  <c r="E35" i="1"/>
  <c r="E36" i="1"/>
  <c r="E37" i="1"/>
  <c r="E38" i="1"/>
  <c r="E31" i="1"/>
  <c r="C38" i="1"/>
  <c r="C37" i="1"/>
  <c r="C36" i="1"/>
  <c r="C35" i="1"/>
  <c r="C34" i="1"/>
  <c r="C33" i="1"/>
  <c r="C32" i="1"/>
  <c r="C31" i="1"/>
  <c r="O25" i="1"/>
  <c r="S24" i="1"/>
  <c r="S23" i="1"/>
  <c r="S22" i="1"/>
  <c r="T22" i="1" s="1"/>
  <c r="U22" i="1" s="1"/>
  <c r="S21" i="1"/>
  <c r="S20" i="1"/>
  <c r="S19" i="1"/>
  <c r="S18" i="1"/>
  <c r="T18" i="1" s="1"/>
  <c r="U18" i="1" s="1"/>
  <c r="S17" i="1"/>
  <c r="T17" i="1" s="1"/>
  <c r="U17" i="1" s="1"/>
  <c r="O24" i="1"/>
  <c r="O23" i="1"/>
  <c r="O22" i="1"/>
  <c r="P22" i="1" s="1"/>
  <c r="Q22" i="1" s="1"/>
  <c r="O21" i="1"/>
  <c r="O20" i="1"/>
  <c r="O19" i="1"/>
  <c r="O18" i="1"/>
  <c r="P18" i="1" s="1"/>
  <c r="Q18" i="1" s="1"/>
  <c r="O17" i="1"/>
  <c r="P17" i="1" s="1"/>
  <c r="Q17" i="1" s="1"/>
  <c r="K24" i="1"/>
  <c r="K23" i="1"/>
  <c r="K22" i="1"/>
  <c r="K21" i="1"/>
  <c r="L21" i="1" s="1"/>
  <c r="K20" i="1"/>
  <c r="K19" i="1"/>
  <c r="K18" i="1"/>
  <c r="K17" i="1"/>
  <c r="K25" i="1" s="1"/>
  <c r="G24" i="1"/>
  <c r="G23" i="1"/>
  <c r="G22" i="1"/>
  <c r="G21" i="1"/>
  <c r="G20" i="1"/>
  <c r="G19" i="1"/>
  <c r="H19" i="1" s="1"/>
  <c r="I19" i="1" s="1"/>
  <c r="G18" i="1"/>
  <c r="G17" i="1"/>
  <c r="C17" i="1"/>
  <c r="D17" i="1" s="1"/>
  <c r="C18" i="1"/>
  <c r="D18" i="1" s="1"/>
  <c r="E18" i="1" s="1"/>
  <c r="C20" i="1"/>
  <c r="C21" i="1"/>
  <c r="D21" i="1" s="1"/>
  <c r="C22" i="1"/>
  <c r="D22" i="1" s="1"/>
  <c r="E22" i="1" s="1"/>
  <c r="C23" i="1"/>
  <c r="C24" i="1"/>
  <c r="C19" i="1"/>
  <c r="D23" i="1"/>
  <c r="D24" i="1"/>
  <c r="E24" i="1" s="1"/>
  <c r="I8" i="2"/>
  <c r="I7" i="2"/>
  <c r="I6" i="2"/>
  <c r="I5" i="2"/>
  <c r="I4" i="2"/>
  <c r="I3" i="2"/>
  <c r="I2" i="2"/>
  <c r="Q11" i="1"/>
  <c r="O11" i="1"/>
  <c r="P11" i="1" s="1"/>
  <c r="L11" i="1"/>
  <c r="M11" i="1" s="1"/>
  <c r="I11" i="1"/>
  <c r="J11" i="1" s="1"/>
  <c r="F11" i="1"/>
  <c r="G11" i="1" s="1"/>
  <c r="C11" i="1"/>
  <c r="D11" i="1" s="1"/>
  <c r="Q10" i="1"/>
  <c r="O10" i="1"/>
  <c r="P10" i="1" s="1"/>
  <c r="L10" i="1"/>
  <c r="M10" i="1" s="1"/>
  <c r="I10" i="1"/>
  <c r="J10" i="1" s="1"/>
  <c r="F10" i="1"/>
  <c r="G10" i="1" s="1"/>
  <c r="C10" i="1"/>
  <c r="Q9" i="1"/>
  <c r="O9" i="1"/>
  <c r="P9" i="1" s="1"/>
  <c r="L9" i="1"/>
  <c r="M9" i="1" s="1"/>
  <c r="I9" i="1"/>
  <c r="J9" i="1" s="1"/>
  <c r="F9" i="1"/>
  <c r="G9" i="1" s="1"/>
  <c r="C9" i="1"/>
  <c r="D9" i="1" s="1"/>
  <c r="Q8" i="1"/>
  <c r="O8" i="1"/>
  <c r="P8" i="1" s="1"/>
  <c r="L8" i="1"/>
  <c r="M8" i="1" s="1"/>
  <c r="I8" i="1"/>
  <c r="J8" i="1" s="1"/>
  <c r="F8" i="1"/>
  <c r="G8" i="1" s="1"/>
  <c r="C8" i="1"/>
  <c r="Q7" i="1"/>
  <c r="O7" i="1"/>
  <c r="P7" i="1" s="1"/>
  <c r="L7" i="1"/>
  <c r="M7" i="1" s="1"/>
  <c r="I7" i="1"/>
  <c r="J7" i="1" s="1"/>
  <c r="F7" i="1"/>
  <c r="G7" i="1" s="1"/>
  <c r="C7" i="1"/>
  <c r="D7" i="1" s="1"/>
  <c r="Q6" i="1"/>
  <c r="O6" i="1"/>
  <c r="P6" i="1" s="1"/>
  <c r="L6" i="1"/>
  <c r="M6" i="1" s="1"/>
  <c r="I6" i="1"/>
  <c r="J6" i="1" s="1"/>
  <c r="F6" i="1"/>
  <c r="G6" i="1" s="1"/>
  <c r="C6" i="1"/>
  <c r="D6" i="1" s="1"/>
  <c r="Q5" i="1"/>
  <c r="O5" i="1"/>
  <c r="P5" i="1" s="1"/>
  <c r="L5" i="1"/>
  <c r="M5" i="1" s="1"/>
  <c r="I5" i="1"/>
  <c r="J5" i="1" s="1"/>
  <c r="F5" i="1"/>
  <c r="C5" i="1"/>
  <c r="D5" i="1" s="1"/>
  <c r="Q4" i="1"/>
  <c r="O4" i="1"/>
  <c r="L4" i="1"/>
  <c r="I4" i="1"/>
  <c r="J4" i="1" s="1"/>
  <c r="F4" i="1"/>
  <c r="C4" i="1"/>
  <c r="C25" i="1" l="1"/>
  <c r="G25" i="1"/>
  <c r="S25" i="1"/>
  <c r="D20" i="1"/>
  <c r="E23" i="1"/>
  <c r="M21" i="1"/>
  <c r="T19" i="1"/>
  <c r="E21" i="1"/>
  <c r="H20" i="1"/>
  <c r="I20" i="1" s="1"/>
  <c r="L18" i="1"/>
  <c r="M18" i="1" s="1"/>
  <c r="T20" i="1"/>
  <c r="U20" i="1" s="1"/>
  <c r="L22" i="1"/>
  <c r="M22" i="1" s="1"/>
  <c r="P19" i="1"/>
  <c r="Q19" i="1" s="1"/>
  <c r="Q25" i="1" s="1"/>
  <c r="H22" i="1"/>
  <c r="I22" i="1" s="1"/>
  <c r="L19" i="1"/>
  <c r="M19" i="1" s="1"/>
  <c r="P20" i="1"/>
  <c r="Q20" i="1" s="1"/>
  <c r="E17" i="1"/>
  <c r="T23" i="1"/>
  <c r="U23" i="1" s="1"/>
  <c r="T21" i="1"/>
  <c r="U21" i="1" s="1"/>
  <c r="T24" i="1"/>
  <c r="U24" i="1" s="1"/>
  <c r="P23" i="1"/>
  <c r="Q23" i="1" s="1"/>
  <c r="P21" i="1"/>
  <c r="Q21" i="1" s="1"/>
  <c r="P24" i="1"/>
  <c r="Q24" i="1" s="1"/>
  <c r="L17" i="1"/>
  <c r="L20" i="1"/>
  <c r="M20" i="1" s="1"/>
  <c r="L23" i="1"/>
  <c r="M23" i="1" s="1"/>
  <c r="L24" i="1"/>
  <c r="M24" i="1" s="1"/>
  <c r="I24" i="1"/>
  <c r="H17" i="1"/>
  <c r="H23" i="1"/>
  <c r="I23" i="1" s="1"/>
  <c r="H18" i="1"/>
  <c r="I18" i="1" s="1"/>
  <c r="H21" i="1"/>
  <c r="I21" i="1" s="1"/>
  <c r="H24" i="1"/>
  <c r="D19" i="1"/>
  <c r="E19" i="1" s="1"/>
  <c r="F12" i="1"/>
  <c r="Q12" i="1"/>
  <c r="C13" i="1"/>
  <c r="F13" i="1"/>
  <c r="R7" i="1"/>
  <c r="T7" i="1" s="1"/>
  <c r="U7" i="1" s="1"/>
  <c r="R9" i="1"/>
  <c r="S9" i="1" s="1"/>
  <c r="R8" i="1"/>
  <c r="T8" i="1" s="1"/>
  <c r="U8" i="1" s="1"/>
  <c r="R10" i="1"/>
  <c r="S10" i="1" s="1"/>
  <c r="L12" i="1"/>
  <c r="M4" i="1"/>
  <c r="M13" i="1" s="1"/>
  <c r="O13" i="1"/>
  <c r="J12" i="1"/>
  <c r="J13" i="1"/>
  <c r="D4" i="1"/>
  <c r="R6" i="1"/>
  <c r="S6" i="1" s="1"/>
  <c r="G5" i="1"/>
  <c r="G4" i="1"/>
  <c r="R4" i="1"/>
  <c r="D10" i="1"/>
  <c r="I13" i="1"/>
  <c r="O12" i="1"/>
  <c r="R11" i="1"/>
  <c r="S11" i="1" s="1"/>
  <c r="I12" i="1"/>
  <c r="C12" i="1"/>
  <c r="R5" i="1"/>
  <c r="S5" i="1" s="1"/>
  <c r="D8" i="1"/>
  <c r="L13" i="1"/>
  <c r="P4" i="1"/>
  <c r="P25" i="1" l="1"/>
  <c r="U19" i="1"/>
  <c r="U25" i="1" s="1"/>
  <c r="T25" i="1"/>
  <c r="M17" i="1"/>
  <c r="M25" i="1" s="1"/>
  <c r="L25" i="1"/>
  <c r="I17" i="1"/>
  <c r="I25" i="1" s="1"/>
  <c r="H25" i="1"/>
  <c r="E20" i="1"/>
  <c r="E25" i="1" s="1"/>
  <c r="D25" i="1"/>
  <c r="S7" i="1"/>
  <c r="T6" i="1"/>
  <c r="U6" i="1" s="1"/>
  <c r="M12" i="1"/>
  <c r="T11" i="1"/>
  <c r="U11" i="1" s="1"/>
  <c r="T9" i="1"/>
  <c r="U9" i="1" s="1"/>
  <c r="S8" i="1"/>
  <c r="T10" i="1"/>
  <c r="U10" i="1" s="1"/>
  <c r="S4" i="1"/>
  <c r="R12" i="1"/>
  <c r="S12" i="1" s="1"/>
  <c r="G13" i="1"/>
  <c r="G12" i="1"/>
  <c r="D13" i="1"/>
  <c r="D12" i="1"/>
  <c r="T4" i="1"/>
  <c r="P12" i="1"/>
  <c r="P13" i="1"/>
  <c r="T5" i="1"/>
  <c r="U5" i="1" s="1"/>
  <c r="U4" i="1" l="1"/>
  <c r="T12" i="1"/>
  <c r="U12" i="1" s="1"/>
</calcChain>
</file>

<file path=xl/sharedStrings.xml><?xml version="1.0" encoding="utf-8"?>
<sst xmlns="http://schemas.openxmlformats.org/spreadsheetml/2006/main" count="92" uniqueCount="30">
  <si>
    <t>CTB</t>
  </si>
  <si>
    <t>DTB</t>
  </si>
  <si>
    <t>EHP</t>
  </si>
  <si>
    <t>TRIP</t>
  </si>
  <si>
    <t>IB</t>
  </si>
  <si>
    <t>Total</t>
  </si>
  <si>
    <t>Total FLF</t>
  </si>
  <si>
    <t>Total Perf</t>
  </si>
  <si>
    <t>FLF</t>
  </si>
  <si>
    <t>Perf</t>
  </si>
  <si>
    <t>Grapefruit</t>
  </si>
  <si>
    <t>Honey Tangerine</t>
  </si>
  <si>
    <t>Lemonade</t>
  </si>
  <si>
    <t>Orange Juice</t>
  </si>
  <si>
    <t>Orange Mango</t>
  </si>
  <si>
    <t>Orange Pineapple</t>
  </si>
  <si>
    <t>Strawberry Lemonade</t>
  </si>
  <si>
    <t>Guava Lemonade</t>
  </si>
  <si>
    <t>Prices Updated:</t>
  </si>
  <si>
    <t>Performance</t>
  </si>
  <si>
    <t>FingerLakes Farms</t>
  </si>
  <si>
    <t>UNFI Fresh</t>
  </si>
  <si>
    <t>UNFI vs Next Cheapest</t>
  </si>
  <si>
    <t>Mango</t>
  </si>
  <si>
    <t>Tangerine</t>
  </si>
  <si>
    <t>Pineapple</t>
  </si>
  <si>
    <t>Ordered</t>
  </si>
  <si>
    <t>Perf.</t>
  </si>
  <si>
    <t>Albert's</t>
  </si>
  <si>
    <t>Left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</si>
</sst>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7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19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92D050"/>
        <bgColor indexed="64"/>
      </patternFill>
    </fill>
  </fills>
  <borders count="45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dotted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ck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dashed">
        <color indexed="64"/>
      </right>
      <top/>
      <bottom style="dashed">
        <color indexed="64"/>
      </bottom>
      <diagonal/>
    </border>
    <border>
      <left style="dashed">
        <color indexed="64"/>
      </left>
      <right style="dashed">
        <color indexed="64"/>
      </right>
      <top/>
      <bottom style="dashed">
        <color indexed="64"/>
      </bottom>
      <diagonal/>
    </border>
    <border>
      <left style="medium">
        <color indexed="64"/>
      </left>
      <right style="dashed">
        <color indexed="64"/>
      </right>
      <top style="dashed">
        <color indexed="64"/>
      </top>
      <bottom style="dashed">
        <color indexed="64"/>
      </bottom>
      <diagonal/>
    </border>
    <border>
      <left style="dashed">
        <color indexed="64"/>
      </left>
      <right style="dashed">
        <color indexed="64"/>
      </right>
      <top style="dashed">
        <color indexed="64"/>
      </top>
      <bottom style="dashed">
        <color indexed="64"/>
      </bottom>
      <diagonal/>
    </border>
    <border>
      <left style="medium">
        <color indexed="64"/>
      </left>
      <right style="dashed">
        <color indexed="64"/>
      </right>
      <top style="dashed">
        <color indexed="64"/>
      </top>
      <bottom style="medium">
        <color indexed="64"/>
      </bottom>
      <diagonal/>
    </border>
    <border>
      <left style="dashed">
        <color indexed="64"/>
      </left>
      <right style="dashed">
        <color indexed="64"/>
      </right>
      <top style="dashed">
        <color indexed="64"/>
      </top>
      <bottom style="medium">
        <color indexed="64"/>
      </bottom>
      <diagonal/>
    </border>
    <border>
      <left style="dashed">
        <color indexed="64"/>
      </left>
      <right style="thin">
        <color indexed="64"/>
      </right>
      <top/>
      <bottom style="dashed">
        <color indexed="64"/>
      </bottom>
      <diagonal/>
    </border>
    <border>
      <left style="dashed">
        <color indexed="64"/>
      </left>
      <right style="thin">
        <color indexed="64"/>
      </right>
      <top style="dashed">
        <color indexed="64"/>
      </top>
      <bottom style="dashed">
        <color indexed="64"/>
      </bottom>
      <diagonal/>
    </border>
    <border>
      <left style="dashed">
        <color indexed="64"/>
      </left>
      <right style="thin">
        <color indexed="64"/>
      </right>
      <top style="dashed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ck">
        <color indexed="64"/>
      </right>
      <top style="medium">
        <color indexed="64"/>
      </top>
      <bottom/>
      <diagonal/>
    </border>
    <border>
      <left style="thin">
        <color indexed="64"/>
      </left>
      <right style="dashed">
        <color indexed="64"/>
      </right>
      <top/>
      <bottom style="dashed">
        <color indexed="64"/>
      </bottom>
      <diagonal/>
    </border>
    <border>
      <left style="thin">
        <color indexed="64"/>
      </left>
      <right style="dashed">
        <color indexed="64"/>
      </right>
      <top style="dashed">
        <color indexed="64"/>
      </top>
      <bottom style="dashed">
        <color indexed="64"/>
      </bottom>
      <diagonal/>
    </border>
    <border>
      <left style="thin">
        <color indexed="64"/>
      </left>
      <right style="dashed">
        <color indexed="64"/>
      </right>
      <top style="dashed">
        <color indexed="64"/>
      </top>
      <bottom style="medium">
        <color indexed="64"/>
      </bottom>
      <diagonal/>
    </border>
    <border>
      <left/>
      <right style="thick">
        <color indexed="64"/>
      </right>
      <top style="medium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dotted">
        <color indexed="64"/>
      </bottom>
      <diagonal/>
    </border>
    <border>
      <left/>
      <right style="thin">
        <color indexed="64"/>
      </right>
      <top/>
      <bottom style="dotted">
        <color indexed="64"/>
      </bottom>
      <diagonal/>
    </border>
    <border>
      <left/>
      <right/>
      <top style="dotted">
        <color indexed="64"/>
      </top>
      <bottom style="dotted">
        <color indexed="64"/>
      </bottom>
      <diagonal/>
    </border>
    <border>
      <left/>
      <right style="thin">
        <color indexed="64"/>
      </right>
      <top style="dotted">
        <color indexed="64"/>
      </top>
      <bottom style="dotted">
        <color indexed="64"/>
      </bottom>
      <diagonal/>
    </border>
    <border>
      <left/>
      <right/>
      <top style="dotted">
        <color indexed="64"/>
      </top>
      <bottom style="thin">
        <color indexed="64"/>
      </bottom>
      <diagonal/>
    </border>
    <border>
      <left/>
      <right style="thin">
        <color indexed="64"/>
      </right>
      <top style="dotted">
        <color indexed="64"/>
      </top>
      <bottom style="thin">
        <color indexed="64"/>
      </bottom>
      <diagonal/>
    </border>
    <border>
      <left style="thin">
        <color indexed="64"/>
      </left>
      <right style="dashed">
        <color indexed="64"/>
      </right>
      <top/>
      <bottom style="dotted">
        <color indexed="64"/>
      </bottom>
      <diagonal/>
    </border>
    <border>
      <left style="thin">
        <color indexed="64"/>
      </left>
      <right style="dashed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dashed">
        <color indexed="64"/>
      </right>
      <top style="dotted">
        <color indexed="64"/>
      </top>
      <bottom style="thin">
        <color indexed="64"/>
      </bottom>
      <diagonal/>
    </border>
    <border>
      <left style="thin">
        <color indexed="64"/>
      </left>
      <right style="dashed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dotted">
        <color indexed="64"/>
      </top>
      <bottom/>
      <diagonal/>
    </border>
    <border>
      <left/>
      <right style="thin">
        <color indexed="64"/>
      </right>
      <top style="dotted">
        <color indexed="64"/>
      </top>
      <bottom/>
      <diagonal/>
    </border>
  </borders>
  <cellStyleXfs count="2">
    <xf numFmtId="0" fontId="0" fillId="0" borderId="0"/>
    <xf numFmtId="9" fontId="3" fillId="0" borderId="0"/>
  </cellStyleXfs>
  <cellXfs count="196">
    <xf numFmtId="0" fontId="0" fillId="0" borderId="0" xfId="0"/>
    <xf numFmtId="0" fontId="0" fillId="0" borderId="0" xfId="0" applyAlignment="1">
      <alignment horizontal="right"/>
    </xf>
    <xf numFmtId="2" fontId="0" fillId="0" borderId="0" xfId="0" applyNumberFormat="1"/>
    <xf numFmtId="2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44" fontId="0" fillId="0" borderId="0" xfId="0" applyNumberFormat="1" applyAlignment="1">
      <alignment horizontal="center" vertical="center"/>
    </xf>
    <xf numFmtId="44" fontId="0" fillId="0" borderId="0" xfId="0" applyNumberFormat="1"/>
    <xf numFmtId="0" fontId="0" fillId="0" borderId="0" xfId="0" applyAlignment="1">
      <alignment horizontal="center"/>
    </xf>
    <xf numFmtId="0" fontId="0" fillId="0" borderId="3" xfId="0" applyBorder="1" applyAlignment="1">
      <alignment horizontal="center"/>
    </xf>
    <xf numFmtId="9" fontId="0" fillId="0" borderId="0" xfId="1" applyFont="1" applyAlignment="1">
      <alignment horizontal="center"/>
    </xf>
    <xf numFmtId="9" fontId="0" fillId="0" borderId="3" xfId="1" applyFont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9" fontId="0" fillId="0" borderId="1" xfId="1" applyFont="1" applyBorder="1" applyAlignment="1">
      <alignment horizontal="center"/>
    </xf>
    <xf numFmtId="9" fontId="0" fillId="0" borderId="5" xfId="1" applyFont="1" applyBorder="1" applyAlignment="1">
      <alignment horizontal="center"/>
    </xf>
    <xf numFmtId="9" fontId="0" fillId="0" borderId="6" xfId="1" applyFont="1" applyBorder="1" applyAlignment="1">
      <alignment horizontal="center"/>
    </xf>
    <xf numFmtId="0" fontId="0" fillId="0" borderId="7" xfId="0" applyBorder="1" applyAlignment="1">
      <alignment horizontal="center"/>
    </xf>
    <xf numFmtId="0" fontId="2" fillId="2" borderId="13" xfId="0" applyFont="1" applyFill="1" applyBorder="1" applyAlignment="1">
      <alignment horizontal="center"/>
    </xf>
    <xf numFmtId="9" fontId="3" fillId="2" borderId="9" xfId="1" applyFill="1" applyBorder="1" applyAlignment="1">
      <alignment horizontal="center"/>
    </xf>
    <xf numFmtId="9" fontId="3" fillId="3" borderId="10" xfId="1" applyFill="1" applyBorder="1" applyAlignment="1">
      <alignment horizontal="center"/>
    </xf>
    <xf numFmtId="9" fontId="3" fillId="3" borderId="9" xfId="1" applyFill="1" applyBorder="1" applyAlignment="1">
      <alignment horizontal="center"/>
    </xf>
    <xf numFmtId="9" fontId="3" fillId="4" borderId="10" xfId="1" applyFill="1" applyBorder="1" applyAlignment="1">
      <alignment horizontal="center"/>
    </xf>
    <xf numFmtId="9" fontId="3" fillId="4" borderId="9" xfId="1" applyFill="1" applyBorder="1" applyAlignment="1">
      <alignment horizontal="center"/>
    </xf>
    <xf numFmtId="9" fontId="3" fillId="5" borderId="9" xfId="1" applyFill="1" applyBorder="1" applyAlignment="1">
      <alignment horizontal="center"/>
    </xf>
    <xf numFmtId="9" fontId="3" fillId="5" borderId="10" xfId="1" applyFill="1" applyBorder="1" applyAlignment="1">
      <alignment horizontal="center"/>
    </xf>
    <xf numFmtId="9" fontId="3" fillId="6" borderId="9" xfId="1" applyFill="1" applyBorder="1" applyAlignment="1">
      <alignment horizontal="center"/>
    </xf>
    <xf numFmtId="9" fontId="3" fillId="6" borderId="10" xfId="1" applyFill="1" applyBorder="1" applyAlignment="1">
      <alignment horizontal="center"/>
    </xf>
    <xf numFmtId="0" fontId="0" fillId="6" borderId="15" xfId="0" applyFill="1" applyBorder="1" applyAlignment="1">
      <alignment horizontal="center" vertical="center"/>
    </xf>
    <xf numFmtId="0" fontId="0" fillId="6" borderId="17" xfId="0" applyFill="1" applyBorder="1" applyAlignment="1">
      <alignment horizontal="center" vertical="center"/>
    </xf>
    <xf numFmtId="0" fontId="0" fillId="6" borderId="19" xfId="0" applyFill="1" applyBorder="1" applyAlignment="1">
      <alignment horizontal="center" vertical="center"/>
    </xf>
    <xf numFmtId="0" fontId="0" fillId="5" borderId="15" xfId="0" applyFill="1" applyBorder="1" applyAlignment="1">
      <alignment horizontal="center" vertical="center"/>
    </xf>
    <xf numFmtId="0" fontId="0" fillId="5" borderId="17" xfId="0" applyFill="1" applyBorder="1" applyAlignment="1">
      <alignment horizontal="center" vertical="center"/>
    </xf>
    <xf numFmtId="0" fontId="0" fillId="5" borderId="19" xfId="0" applyFill="1" applyBorder="1" applyAlignment="1">
      <alignment horizontal="center" vertical="center"/>
    </xf>
    <xf numFmtId="0" fontId="0" fillId="4" borderId="15" xfId="0" applyFill="1" applyBorder="1" applyAlignment="1">
      <alignment horizontal="center" vertical="center"/>
    </xf>
    <xf numFmtId="0" fontId="0" fillId="4" borderId="17" xfId="0" applyFill="1" applyBorder="1" applyAlignment="1">
      <alignment horizontal="center" vertical="center"/>
    </xf>
    <xf numFmtId="0" fontId="0" fillId="4" borderId="19" xfId="0" applyFill="1" applyBorder="1" applyAlignment="1">
      <alignment horizontal="center" vertical="center"/>
    </xf>
    <xf numFmtId="0" fontId="0" fillId="3" borderId="15" xfId="0" applyFill="1" applyBorder="1" applyAlignment="1">
      <alignment horizontal="center" vertical="center"/>
    </xf>
    <xf numFmtId="0" fontId="0" fillId="3" borderId="17" xfId="0" applyFill="1" applyBorder="1" applyAlignment="1">
      <alignment horizontal="center" vertical="center"/>
    </xf>
    <xf numFmtId="0" fontId="0" fillId="3" borderId="19" xfId="0" applyFill="1" applyBorder="1" applyAlignment="1">
      <alignment horizontal="center" vertical="center"/>
    </xf>
    <xf numFmtId="0" fontId="0" fillId="2" borderId="14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0" fontId="0" fillId="2" borderId="16" xfId="0" applyFill="1" applyBorder="1" applyAlignment="1">
      <alignment horizontal="center" vertical="center"/>
    </xf>
    <xf numFmtId="0" fontId="0" fillId="2" borderId="17" xfId="0" applyFill="1" applyBorder="1" applyAlignment="1">
      <alignment horizontal="center" vertical="center"/>
    </xf>
    <xf numFmtId="0" fontId="0" fillId="2" borderId="18" xfId="0" applyFill="1" applyBorder="1" applyAlignment="1">
      <alignment horizontal="center" vertical="center"/>
    </xf>
    <xf numFmtId="0" fontId="0" fillId="2" borderId="19" xfId="0" applyFill="1" applyBorder="1" applyAlignment="1">
      <alignment horizontal="center" vertical="center"/>
    </xf>
    <xf numFmtId="0" fontId="2" fillId="3" borderId="0" xfId="0" applyFont="1" applyFill="1" applyAlignment="1">
      <alignment horizontal="center"/>
    </xf>
    <xf numFmtId="0" fontId="2" fillId="2" borderId="0" xfId="0" applyFont="1" applyFill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0" fillId="2" borderId="20" xfId="0" applyFill="1" applyBorder="1" applyAlignment="1">
      <alignment horizontal="center" vertical="center"/>
    </xf>
    <xf numFmtId="0" fontId="0" fillId="2" borderId="21" xfId="0" applyFill="1" applyBorder="1" applyAlignment="1">
      <alignment horizontal="center" vertical="center"/>
    </xf>
    <xf numFmtId="0" fontId="0" fillId="2" borderId="22" xfId="0" applyFill="1" applyBorder="1" applyAlignment="1">
      <alignment horizontal="center" vertical="center"/>
    </xf>
    <xf numFmtId="9" fontId="3" fillId="2" borderId="23" xfId="1" applyFill="1" applyBorder="1" applyAlignment="1">
      <alignment horizontal="center"/>
    </xf>
    <xf numFmtId="0" fontId="2" fillId="4" borderId="0" xfId="0" applyFont="1" applyFill="1" applyAlignment="1">
      <alignment horizontal="center"/>
    </xf>
    <xf numFmtId="0" fontId="2" fillId="3" borderId="2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0" fillId="3" borderId="25" xfId="0" applyFill="1" applyBorder="1" applyAlignment="1">
      <alignment horizontal="center" vertical="center"/>
    </xf>
    <xf numFmtId="0" fontId="0" fillId="3" borderId="20" xfId="0" applyFill="1" applyBorder="1" applyAlignment="1">
      <alignment horizontal="center" vertical="center"/>
    </xf>
    <xf numFmtId="0" fontId="0" fillId="3" borderId="26" xfId="0" applyFill="1" applyBorder="1" applyAlignment="1">
      <alignment horizontal="center" vertical="center"/>
    </xf>
    <xf numFmtId="0" fontId="0" fillId="3" borderId="21" xfId="0" applyFill="1" applyBorder="1" applyAlignment="1">
      <alignment horizontal="center" vertical="center"/>
    </xf>
    <xf numFmtId="0" fontId="0" fillId="3" borderId="27" xfId="0" applyFill="1" applyBorder="1" applyAlignment="1">
      <alignment horizontal="center" vertical="center"/>
    </xf>
    <xf numFmtId="0" fontId="0" fillId="3" borderId="22" xfId="0" applyFill="1" applyBorder="1" applyAlignment="1">
      <alignment horizontal="center" vertical="center"/>
    </xf>
    <xf numFmtId="0" fontId="2" fillId="5" borderId="0" xfId="0" applyFont="1" applyFill="1" applyAlignment="1">
      <alignment horizontal="center"/>
    </xf>
    <xf numFmtId="0" fontId="2" fillId="4" borderId="2" xfId="0" applyFont="1" applyFill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0" fontId="0" fillId="4" borderId="25" xfId="0" applyFill="1" applyBorder="1" applyAlignment="1">
      <alignment horizontal="center" vertical="center"/>
    </xf>
    <xf numFmtId="0" fontId="0" fillId="4" borderId="20" xfId="0" applyFill="1" applyBorder="1" applyAlignment="1">
      <alignment horizontal="center" vertical="center"/>
    </xf>
    <xf numFmtId="0" fontId="0" fillId="4" borderId="26" xfId="0" applyFill="1" applyBorder="1" applyAlignment="1">
      <alignment horizontal="center" vertical="center"/>
    </xf>
    <xf numFmtId="0" fontId="0" fillId="4" borderId="21" xfId="0" applyFill="1" applyBorder="1" applyAlignment="1">
      <alignment horizontal="center" vertical="center"/>
    </xf>
    <xf numFmtId="0" fontId="0" fillId="4" borderId="27" xfId="0" applyFill="1" applyBorder="1" applyAlignment="1">
      <alignment horizontal="center" vertical="center"/>
    </xf>
    <xf numFmtId="0" fontId="0" fillId="4" borderId="22" xfId="0" applyFill="1" applyBorder="1" applyAlignment="1">
      <alignment horizontal="center" vertical="center"/>
    </xf>
    <xf numFmtId="0" fontId="2" fillId="6" borderId="0" xfId="0" applyFont="1" applyFill="1" applyAlignment="1">
      <alignment horizontal="center"/>
    </xf>
    <xf numFmtId="0" fontId="2" fillId="5" borderId="2" xfId="0" applyFont="1" applyFill="1" applyBorder="1" applyAlignment="1">
      <alignment horizontal="center"/>
    </xf>
    <xf numFmtId="0" fontId="2" fillId="5" borderId="1" xfId="0" applyFont="1" applyFill="1" applyBorder="1" applyAlignment="1">
      <alignment horizontal="center"/>
    </xf>
    <xf numFmtId="0" fontId="0" fillId="5" borderId="25" xfId="0" applyFill="1" applyBorder="1" applyAlignment="1">
      <alignment horizontal="center" vertical="center"/>
    </xf>
    <xf numFmtId="0" fontId="0" fillId="5" borderId="20" xfId="0" applyFill="1" applyBorder="1" applyAlignment="1">
      <alignment horizontal="center" vertical="center"/>
    </xf>
    <xf numFmtId="0" fontId="0" fillId="5" borderId="26" xfId="0" applyFill="1" applyBorder="1" applyAlignment="1">
      <alignment horizontal="center" vertical="center"/>
    </xf>
    <xf numFmtId="0" fontId="0" fillId="5" borderId="21" xfId="0" applyFill="1" applyBorder="1" applyAlignment="1">
      <alignment horizontal="center" vertical="center"/>
    </xf>
    <xf numFmtId="0" fontId="0" fillId="5" borderId="27" xfId="0" applyFill="1" applyBorder="1" applyAlignment="1">
      <alignment horizontal="center" vertical="center"/>
    </xf>
    <xf numFmtId="0" fontId="0" fillId="5" borderId="22" xfId="0" applyFill="1" applyBorder="1" applyAlignment="1">
      <alignment horizontal="center" vertical="center"/>
    </xf>
    <xf numFmtId="0" fontId="2" fillId="6" borderId="2" xfId="0" applyFont="1" applyFill="1" applyBorder="1" applyAlignment="1">
      <alignment horizontal="center"/>
    </xf>
    <xf numFmtId="0" fontId="2" fillId="6" borderId="1" xfId="0" applyFont="1" applyFill="1" applyBorder="1" applyAlignment="1">
      <alignment horizontal="center"/>
    </xf>
    <xf numFmtId="0" fontId="0" fillId="6" borderId="25" xfId="0" applyFill="1" applyBorder="1" applyAlignment="1">
      <alignment horizontal="center" vertical="center"/>
    </xf>
    <xf numFmtId="0" fontId="0" fillId="6" borderId="20" xfId="0" applyFill="1" applyBorder="1" applyAlignment="1">
      <alignment horizontal="center" vertical="center"/>
    </xf>
    <xf numFmtId="0" fontId="0" fillId="6" borderId="21" xfId="0" applyFill="1" applyBorder="1" applyAlignment="1">
      <alignment horizontal="center" vertical="center"/>
    </xf>
    <xf numFmtId="0" fontId="0" fillId="6" borderId="22" xfId="0" applyFill="1" applyBorder="1" applyAlignment="1">
      <alignment horizontal="center" vertical="center"/>
    </xf>
    <xf numFmtId="0" fontId="0" fillId="12" borderId="0" xfId="0" applyFill="1" applyAlignment="1">
      <alignment horizontal="center" vertical="center"/>
    </xf>
    <xf numFmtId="0" fontId="0" fillId="12" borderId="0" xfId="0" applyFill="1"/>
    <xf numFmtId="0" fontId="0" fillId="6" borderId="27" xfId="0" applyFill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4" fillId="0" borderId="0" xfId="0" applyFont="1" applyAlignment="1">
      <alignment horizontal="center" vertical="center"/>
    </xf>
    <xf numFmtId="0" fontId="4" fillId="0" borderId="0" xfId="0" applyFont="1"/>
    <xf numFmtId="14" fontId="0" fillId="0" borderId="0" xfId="0" applyNumberFormat="1" applyAlignment="1">
      <alignment horizontal="center"/>
    </xf>
    <xf numFmtId="0" fontId="0" fillId="0" borderId="1" xfId="0" applyBorder="1"/>
    <xf numFmtId="0" fontId="1" fillId="8" borderId="24" xfId="0" applyFont="1" applyFill="1" applyBorder="1" applyAlignment="1">
      <alignment horizontal="center"/>
    </xf>
    <xf numFmtId="0" fontId="0" fillId="0" borderId="12" xfId="0" applyBorder="1"/>
    <xf numFmtId="0" fontId="0" fillId="0" borderId="28" xfId="0" applyBorder="1"/>
    <xf numFmtId="0" fontId="1" fillId="10" borderId="24" xfId="0" applyFont="1" applyFill="1" applyBorder="1" applyAlignment="1">
      <alignment horizontal="center"/>
    </xf>
    <xf numFmtId="0" fontId="1" fillId="11" borderId="24" xfId="0" applyFont="1" applyFill="1" applyBorder="1" applyAlignment="1">
      <alignment horizontal="center"/>
    </xf>
    <xf numFmtId="0" fontId="2" fillId="0" borderId="0" xfId="0" applyFont="1" applyAlignment="1">
      <alignment horizontal="center" vertical="center"/>
    </xf>
    <xf numFmtId="0" fontId="0" fillId="0" borderId="0" xfId="0"/>
    <xf numFmtId="0" fontId="0" fillId="0" borderId="0" xfId="0" applyAlignment="1">
      <alignment horizontal="center"/>
    </xf>
    <xf numFmtId="0" fontId="2" fillId="0" borderId="8" xfId="0" applyFont="1" applyBorder="1" applyAlignment="1">
      <alignment horizontal="center" vertical="center"/>
    </xf>
    <xf numFmtId="0" fontId="0" fillId="0" borderId="1" xfId="0" applyBorder="1"/>
    <xf numFmtId="0" fontId="0" fillId="0" borderId="2" xfId="0" applyBorder="1"/>
    <xf numFmtId="0" fontId="1" fillId="9" borderId="24" xfId="0" applyFont="1" applyFill="1" applyBorder="1" applyAlignment="1">
      <alignment horizontal="center"/>
    </xf>
    <xf numFmtId="0" fontId="1" fillId="7" borderId="11" xfId="0" applyFont="1" applyFill="1" applyBorder="1" applyAlignment="1">
      <alignment horizontal="center"/>
    </xf>
    <xf numFmtId="0" fontId="4" fillId="0" borderId="0" xfId="0" applyFont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right"/>
    </xf>
    <xf numFmtId="0" fontId="6" fillId="2" borderId="1" xfId="0" applyFont="1" applyFill="1" applyBorder="1" applyAlignment="1">
      <alignment horizontal="center"/>
    </xf>
    <xf numFmtId="0" fontId="6" fillId="3" borderId="1" xfId="0" applyFont="1" applyFill="1" applyBorder="1" applyAlignment="1">
      <alignment horizontal="center"/>
    </xf>
    <xf numFmtId="0" fontId="6" fillId="4" borderId="1" xfId="0" applyFont="1" applyFill="1" applyBorder="1" applyAlignment="1">
      <alignment horizontal="center"/>
    </xf>
    <xf numFmtId="0" fontId="6" fillId="5" borderId="1" xfId="0" applyFont="1" applyFill="1" applyBorder="1" applyAlignment="1">
      <alignment horizontal="center"/>
    </xf>
    <xf numFmtId="0" fontId="6" fillId="6" borderId="1" xfId="0" applyFont="1" applyFill="1" applyBorder="1" applyAlignment="1">
      <alignment horizontal="center"/>
    </xf>
    <xf numFmtId="0" fontId="5" fillId="7" borderId="7" xfId="0" applyFont="1" applyFill="1" applyBorder="1" applyAlignment="1">
      <alignment horizontal="center"/>
    </xf>
    <xf numFmtId="0" fontId="5" fillId="7" borderId="29" xfId="0" applyFont="1" applyFill="1" applyBorder="1" applyAlignment="1">
      <alignment horizontal="center"/>
    </xf>
    <xf numFmtId="0" fontId="5" fillId="7" borderId="6" xfId="0" applyFont="1" applyFill="1" applyBorder="1" applyAlignment="1">
      <alignment horizontal="center"/>
    </xf>
    <xf numFmtId="0" fontId="5" fillId="8" borderId="29" xfId="0" applyFont="1" applyFill="1" applyBorder="1" applyAlignment="1">
      <alignment horizontal="center"/>
    </xf>
    <xf numFmtId="0" fontId="5" fillId="8" borderId="6" xfId="0" applyFont="1" applyFill="1" applyBorder="1" applyAlignment="1">
      <alignment horizontal="center"/>
    </xf>
    <xf numFmtId="0" fontId="5" fillId="9" borderId="29" xfId="0" applyFont="1" applyFill="1" applyBorder="1" applyAlignment="1">
      <alignment horizontal="center"/>
    </xf>
    <xf numFmtId="0" fontId="5" fillId="9" borderId="6" xfId="0" applyFont="1" applyFill="1" applyBorder="1" applyAlignment="1">
      <alignment horizontal="center"/>
    </xf>
    <xf numFmtId="0" fontId="5" fillId="10" borderId="29" xfId="0" applyFont="1" applyFill="1" applyBorder="1" applyAlignment="1">
      <alignment horizontal="center"/>
    </xf>
    <xf numFmtId="0" fontId="5" fillId="10" borderId="6" xfId="0" applyFont="1" applyFill="1" applyBorder="1" applyAlignment="1">
      <alignment horizontal="center"/>
    </xf>
    <xf numFmtId="0" fontId="5" fillId="11" borderId="29" xfId="0" applyFont="1" applyFill="1" applyBorder="1" applyAlignment="1">
      <alignment horizontal="center"/>
    </xf>
    <xf numFmtId="0" fontId="5" fillId="11" borderId="6" xfId="0" applyFont="1" applyFill="1" applyBorder="1" applyAlignment="1">
      <alignment horizontal="center"/>
    </xf>
    <xf numFmtId="0" fontId="6" fillId="2" borderId="0" xfId="0" applyFont="1" applyFill="1" applyBorder="1" applyAlignment="1">
      <alignment horizontal="center"/>
    </xf>
    <xf numFmtId="0" fontId="6" fillId="3" borderId="0" xfId="0" applyFont="1" applyFill="1" applyBorder="1" applyAlignment="1">
      <alignment horizontal="center"/>
    </xf>
    <xf numFmtId="0" fontId="6" fillId="4" borderId="0" xfId="0" applyFont="1" applyFill="1" applyBorder="1" applyAlignment="1">
      <alignment horizontal="center"/>
    </xf>
    <xf numFmtId="0" fontId="6" fillId="5" borderId="0" xfId="0" applyFont="1" applyFill="1" applyBorder="1" applyAlignment="1">
      <alignment horizontal="center"/>
    </xf>
    <xf numFmtId="0" fontId="6" fillId="6" borderId="0" xfId="0" applyFont="1" applyFill="1" applyBorder="1" applyAlignment="1">
      <alignment horizontal="center"/>
    </xf>
    <xf numFmtId="0" fontId="0" fillId="13" borderId="30" xfId="0" applyFill="1" applyBorder="1" applyAlignment="1">
      <alignment horizontal="center"/>
    </xf>
    <xf numFmtId="0" fontId="0" fillId="13" borderId="31" xfId="0" applyFill="1" applyBorder="1" applyAlignment="1">
      <alignment horizontal="center"/>
    </xf>
    <xf numFmtId="0" fontId="0" fillId="14" borderId="30" xfId="0" applyFill="1" applyBorder="1" applyAlignment="1">
      <alignment horizontal="center"/>
    </xf>
    <xf numFmtId="0" fontId="0" fillId="14" borderId="31" xfId="0" applyFill="1" applyBorder="1" applyAlignment="1">
      <alignment horizontal="center"/>
    </xf>
    <xf numFmtId="0" fontId="0" fillId="15" borderId="30" xfId="0" applyFill="1" applyBorder="1" applyAlignment="1">
      <alignment horizontal="center"/>
    </xf>
    <xf numFmtId="0" fontId="0" fillId="15" borderId="31" xfId="0" applyFill="1" applyBorder="1" applyAlignment="1">
      <alignment horizontal="center"/>
    </xf>
    <xf numFmtId="0" fontId="0" fillId="16" borderId="30" xfId="0" applyFill="1" applyBorder="1" applyAlignment="1">
      <alignment horizontal="center"/>
    </xf>
    <xf numFmtId="0" fontId="0" fillId="16" borderId="31" xfId="0" applyFill="1" applyBorder="1" applyAlignment="1">
      <alignment horizontal="center"/>
    </xf>
    <xf numFmtId="0" fontId="0" fillId="17" borderId="30" xfId="0" applyFill="1" applyBorder="1" applyAlignment="1">
      <alignment horizontal="center"/>
    </xf>
    <xf numFmtId="0" fontId="0" fillId="17" borderId="31" xfId="0" applyFill="1" applyBorder="1" applyAlignment="1">
      <alignment horizontal="center"/>
    </xf>
    <xf numFmtId="0" fontId="0" fillId="13" borderId="32" xfId="0" applyFill="1" applyBorder="1" applyAlignment="1">
      <alignment horizontal="center"/>
    </xf>
    <xf numFmtId="0" fontId="0" fillId="13" borderId="33" xfId="0" applyFill="1" applyBorder="1" applyAlignment="1">
      <alignment horizontal="center"/>
    </xf>
    <xf numFmtId="0" fontId="0" fillId="14" borderId="32" xfId="0" applyFill="1" applyBorder="1" applyAlignment="1">
      <alignment horizontal="center"/>
    </xf>
    <xf numFmtId="0" fontId="0" fillId="14" borderId="33" xfId="0" applyFill="1" applyBorder="1" applyAlignment="1">
      <alignment horizontal="center"/>
    </xf>
    <xf numFmtId="0" fontId="0" fillId="15" borderId="32" xfId="0" applyFill="1" applyBorder="1" applyAlignment="1">
      <alignment horizontal="center"/>
    </xf>
    <xf numFmtId="0" fontId="0" fillId="15" borderId="33" xfId="0" applyFill="1" applyBorder="1" applyAlignment="1">
      <alignment horizontal="center"/>
    </xf>
    <xf numFmtId="0" fontId="0" fillId="16" borderId="32" xfId="0" applyFill="1" applyBorder="1" applyAlignment="1">
      <alignment horizontal="center"/>
    </xf>
    <xf numFmtId="0" fontId="0" fillId="16" borderId="33" xfId="0" applyFill="1" applyBorder="1" applyAlignment="1">
      <alignment horizontal="center"/>
    </xf>
    <xf numFmtId="0" fontId="0" fillId="17" borderId="32" xfId="0" applyFill="1" applyBorder="1" applyAlignment="1">
      <alignment horizontal="center"/>
    </xf>
    <xf numFmtId="0" fontId="0" fillId="17" borderId="33" xfId="0" applyFill="1" applyBorder="1" applyAlignment="1">
      <alignment horizontal="center"/>
    </xf>
    <xf numFmtId="0" fontId="0" fillId="13" borderId="34" xfId="0" applyFill="1" applyBorder="1" applyAlignment="1">
      <alignment horizontal="center"/>
    </xf>
    <xf numFmtId="0" fontId="0" fillId="13" borderId="35" xfId="0" applyFill="1" applyBorder="1" applyAlignment="1">
      <alignment horizontal="center"/>
    </xf>
    <xf numFmtId="0" fontId="0" fillId="15" borderId="34" xfId="0" applyFill="1" applyBorder="1" applyAlignment="1">
      <alignment horizontal="center"/>
    </xf>
    <xf numFmtId="0" fontId="0" fillId="15" borderId="35" xfId="0" applyFill="1" applyBorder="1" applyAlignment="1">
      <alignment horizontal="center"/>
    </xf>
    <xf numFmtId="0" fontId="0" fillId="16" borderId="34" xfId="0" applyFill="1" applyBorder="1" applyAlignment="1">
      <alignment horizontal="center"/>
    </xf>
    <xf numFmtId="0" fontId="0" fillId="16" borderId="35" xfId="0" applyFill="1" applyBorder="1" applyAlignment="1">
      <alignment horizontal="center"/>
    </xf>
    <xf numFmtId="0" fontId="0" fillId="17" borderId="34" xfId="0" applyFill="1" applyBorder="1" applyAlignment="1">
      <alignment horizontal="center"/>
    </xf>
    <xf numFmtId="0" fontId="0" fillId="17" borderId="35" xfId="0" applyFill="1" applyBorder="1" applyAlignment="1">
      <alignment horizontal="center"/>
    </xf>
    <xf numFmtId="0" fontId="0" fillId="13" borderId="36" xfId="0" applyFill="1" applyBorder="1" applyAlignment="1">
      <alignment horizontal="center"/>
    </xf>
    <xf numFmtId="0" fontId="0" fillId="13" borderId="37" xfId="0" applyFill="1" applyBorder="1" applyAlignment="1">
      <alignment horizontal="center"/>
    </xf>
    <xf numFmtId="0" fontId="0" fillId="13" borderId="38" xfId="0" applyFill="1" applyBorder="1" applyAlignment="1">
      <alignment horizontal="center"/>
    </xf>
    <xf numFmtId="0" fontId="0" fillId="14" borderId="36" xfId="0" applyFill="1" applyBorder="1" applyAlignment="1">
      <alignment horizontal="center"/>
    </xf>
    <xf numFmtId="0" fontId="0" fillId="14" borderId="37" xfId="0" applyFill="1" applyBorder="1" applyAlignment="1">
      <alignment horizontal="center"/>
    </xf>
    <xf numFmtId="0" fontId="0" fillId="14" borderId="38" xfId="0" applyFill="1" applyBorder="1" applyAlignment="1">
      <alignment horizontal="center"/>
    </xf>
    <xf numFmtId="0" fontId="0" fillId="15" borderId="36" xfId="0" applyFill="1" applyBorder="1" applyAlignment="1">
      <alignment horizontal="center"/>
    </xf>
    <xf numFmtId="0" fontId="0" fillId="15" borderId="37" xfId="0" applyFill="1" applyBorder="1" applyAlignment="1">
      <alignment horizontal="center"/>
    </xf>
    <xf numFmtId="0" fontId="0" fillId="15" borderId="38" xfId="0" applyFill="1" applyBorder="1" applyAlignment="1">
      <alignment horizontal="center"/>
    </xf>
    <xf numFmtId="0" fontId="0" fillId="16" borderId="36" xfId="0" applyFill="1" applyBorder="1" applyAlignment="1">
      <alignment horizontal="center"/>
    </xf>
    <xf numFmtId="0" fontId="0" fillId="16" borderId="37" xfId="0" applyFill="1" applyBorder="1" applyAlignment="1">
      <alignment horizontal="center"/>
    </xf>
    <xf numFmtId="0" fontId="0" fillId="16" borderId="38" xfId="0" applyFill="1" applyBorder="1" applyAlignment="1">
      <alignment horizontal="center"/>
    </xf>
    <xf numFmtId="0" fontId="0" fillId="17" borderId="36" xfId="0" applyFill="1" applyBorder="1" applyAlignment="1">
      <alignment horizontal="center"/>
    </xf>
    <xf numFmtId="0" fontId="0" fillId="17" borderId="37" xfId="0" applyFill="1" applyBorder="1" applyAlignment="1">
      <alignment horizontal="center"/>
    </xf>
    <xf numFmtId="0" fontId="0" fillId="17" borderId="38" xfId="0" applyFill="1" applyBorder="1" applyAlignment="1">
      <alignment horizontal="center"/>
    </xf>
    <xf numFmtId="0" fontId="6" fillId="2" borderId="39" xfId="0" applyFont="1" applyFill="1" applyBorder="1" applyAlignment="1">
      <alignment horizontal="center"/>
    </xf>
    <xf numFmtId="0" fontId="6" fillId="3" borderId="39" xfId="0" applyFont="1" applyFill="1" applyBorder="1" applyAlignment="1">
      <alignment horizontal="center"/>
    </xf>
    <xf numFmtId="0" fontId="6" fillId="4" borderId="39" xfId="0" applyFont="1" applyFill="1" applyBorder="1" applyAlignment="1">
      <alignment horizontal="center"/>
    </xf>
    <xf numFmtId="0" fontId="6" fillId="5" borderId="39" xfId="0" applyFont="1" applyFill="1" applyBorder="1" applyAlignment="1">
      <alignment horizontal="center"/>
    </xf>
    <xf numFmtId="0" fontId="6" fillId="6" borderId="39" xfId="0" applyFont="1" applyFill="1" applyBorder="1" applyAlignment="1">
      <alignment horizontal="center"/>
    </xf>
    <xf numFmtId="9" fontId="3" fillId="2" borderId="40" xfId="1" applyFill="1" applyBorder="1" applyAlignment="1">
      <alignment horizontal="center"/>
    </xf>
    <xf numFmtId="9" fontId="3" fillId="2" borderId="41" xfId="1" applyFill="1" applyBorder="1" applyAlignment="1">
      <alignment horizontal="center"/>
    </xf>
    <xf numFmtId="9" fontId="3" fillId="2" borderId="42" xfId="1" applyFill="1" applyBorder="1" applyAlignment="1">
      <alignment horizontal="center"/>
    </xf>
    <xf numFmtId="9" fontId="3" fillId="3" borderId="40" xfId="1" applyFill="1" applyBorder="1" applyAlignment="1">
      <alignment horizontal="center"/>
    </xf>
    <xf numFmtId="0" fontId="0" fillId="14" borderId="43" xfId="0" applyFill="1" applyBorder="1" applyAlignment="1">
      <alignment horizontal="center"/>
    </xf>
    <xf numFmtId="0" fontId="0" fillId="14" borderId="44" xfId="0" applyFill="1" applyBorder="1" applyAlignment="1">
      <alignment horizontal="center"/>
    </xf>
    <xf numFmtId="9" fontId="3" fillId="3" borderId="41" xfId="1" applyFill="1" applyBorder="1" applyAlignment="1">
      <alignment horizontal="center"/>
    </xf>
    <xf numFmtId="9" fontId="3" fillId="3" borderId="42" xfId="1" applyFill="1" applyBorder="1" applyAlignment="1">
      <alignment horizontal="center"/>
    </xf>
    <xf numFmtId="9" fontId="3" fillId="4" borderId="40" xfId="1" applyFill="1" applyBorder="1" applyAlignment="1">
      <alignment horizontal="center"/>
    </xf>
    <xf numFmtId="9" fontId="3" fillId="4" borderId="41" xfId="1" applyFill="1" applyBorder="1" applyAlignment="1">
      <alignment horizontal="center"/>
    </xf>
    <xf numFmtId="9" fontId="3" fillId="4" borderId="42" xfId="1" applyFill="1" applyBorder="1" applyAlignment="1">
      <alignment horizontal="center"/>
    </xf>
    <xf numFmtId="9" fontId="3" fillId="5" borderId="40" xfId="1" applyFill="1" applyBorder="1" applyAlignment="1">
      <alignment horizontal="center"/>
    </xf>
    <xf numFmtId="9" fontId="3" fillId="5" borderId="41" xfId="1" applyFill="1" applyBorder="1" applyAlignment="1">
      <alignment horizontal="center"/>
    </xf>
    <xf numFmtId="9" fontId="3" fillId="5" borderId="42" xfId="1" applyFill="1" applyBorder="1" applyAlignment="1">
      <alignment horizontal="center"/>
    </xf>
    <xf numFmtId="9" fontId="3" fillId="6" borderId="40" xfId="1" applyFill="1" applyBorder="1" applyAlignment="1">
      <alignment horizontal="center"/>
    </xf>
    <xf numFmtId="9" fontId="3" fillId="6" borderId="41" xfId="1" applyFill="1" applyBorder="1" applyAlignment="1">
      <alignment horizontal="center"/>
    </xf>
    <xf numFmtId="9" fontId="3" fillId="6" borderId="42" xfId="1" applyFill="1" applyBorder="1" applyAlignment="1">
      <alignment horizontal="center"/>
    </xf>
    <xf numFmtId="0" fontId="0" fillId="18" borderId="0" xfId="0" applyFill="1" applyAlignment="1">
      <alignment horizont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U38"/>
  <sheetViews>
    <sheetView tabSelected="1" topLeftCell="A7" workbookViewId="0">
      <pane xSplit="1" topLeftCell="B1" activePane="topRight" state="frozen"/>
      <selection pane="topRight" activeCell="K31" sqref="K31"/>
    </sheetView>
  </sheetViews>
  <sheetFormatPr defaultRowHeight="15" x14ac:dyDescent="0.25"/>
  <cols>
    <col min="1" max="1" width="20.7109375" bestFit="1" customWidth="1"/>
    <col min="2" max="16" width="8.7109375" customWidth="1"/>
    <col min="17" max="20" width="9.140625" style="7" customWidth="1"/>
  </cols>
  <sheetData>
    <row r="1" spans="1:21" ht="15.75" customHeight="1" thickBot="1" x14ac:dyDescent="0.3"/>
    <row r="2" spans="1:21" ht="15.75" customHeight="1" x14ac:dyDescent="0.25">
      <c r="B2" s="105" t="s">
        <v>0</v>
      </c>
      <c r="C2" s="94"/>
      <c r="D2" s="95"/>
      <c r="E2" s="93" t="s">
        <v>1</v>
      </c>
      <c r="F2" s="94"/>
      <c r="G2" s="95"/>
      <c r="H2" s="104" t="s">
        <v>2</v>
      </c>
      <c r="I2" s="94"/>
      <c r="J2" s="95"/>
      <c r="K2" s="96" t="s">
        <v>3</v>
      </c>
      <c r="L2" s="94"/>
      <c r="M2" s="95"/>
      <c r="N2" s="97" t="s">
        <v>4</v>
      </c>
      <c r="O2" s="94"/>
      <c r="P2" s="95"/>
      <c r="Q2" s="98" t="s">
        <v>5</v>
      </c>
      <c r="R2" s="101" t="s">
        <v>6</v>
      </c>
      <c r="S2" s="102"/>
      <c r="T2" s="98" t="s">
        <v>7</v>
      </c>
      <c r="U2" s="99"/>
    </row>
    <row r="3" spans="1:21" x14ac:dyDescent="0.25">
      <c r="B3" s="17" t="s">
        <v>5</v>
      </c>
      <c r="C3" s="46" t="s">
        <v>8</v>
      </c>
      <c r="D3" s="47" t="s">
        <v>9</v>
      </c>
      <c r="E3" s="53" t="s">
        <v>5</v>
      </c>
      <c r="F3" s="45" t="s">
        <v>8</v>
      </c>
      <c r="G3" s="54" t="s">
        <v>9</v>
      </c>
      <c r="H3" s="62" t="s">
        <v>5</v>
      </c>
      <c r="I3" s="52" t="s">
        <v>8</v>
      </c>
      <c r="J3" s="63" t="s">
        <v>9</v>
      </c>
      <c r="K3" s="71" t="s">
        <v>5</v>
      </c>
      <c r="L3" s="61" t="s">
        <v>8</v>
      </c>
      <c r="M3" s="72" t="s">
        <v>9</v>
      </c>
      <c r="N3" s="79" t="s">
        <v>5</v>
      </c>
      <c r="O3" s="70" t="s">
        <v>8</v>
      </c>
      <c r="P3" s="80" t="s">
        <v>9</v>
      </c>
      <c r="Q3" s="100"/>
      <c r="R3" s="103"/>
      <c r="S3" s="102"/>
      <c r="T3" s="100"/>
      <c r="U3" s="99"/>
    </row>
    <row r="4" spans="1:21" x14ac:dyDescent="0.25">
      <c r="A4" s="1" t="s">
        <v>10</v>
      </c>
      <c r="B4" s="39"/>
      <c r="C4" s="40">
        <f>B4</f>
        <v>0</v>
      </c>
      <c r="D4" s="48">
        <f t="shared" ref="D4:D11" si="0">B4-C4</f>
        <v>0</v>
      </c>
      <c r="E4" s="55">
        <v>2</v>
      </c>
      <c r="F4" s="36">
        <f>E4</f>
        <v>2</v>
      </c>
      <c r="G4" s="56">
        <f t="shared" ref="G4:G11" si="1">E4-F4</f>
        <v>0</v>
      </c>
      <c r="H4" s="64">
        <v>1</v>
      </c>
      <c r="I4" s="33">
        <f>H4</f>
        <v>1</v>
      </c>
      <c r="J4" s="65">
        <f t="shared" ref="J4:J11" si="2">H4-I4</f>
        <v>0</v>
      </c>
      <c r="K4" s="73">
        <v>3</v>
      </c>
      <c r="L4" s="30">
        <f>K4</f>
        <v>3</v>
      </c>
      <c r="M4" s="74">
        <f t="shared" ref="M4:M11" si="3">K4-L4</f>
        <v>0</v>
      </c>
      <c r="N4" s="81"/>
      <c r="O4" s="27">
        <f>N4</f>
        <v>0</v>
      </c>
      <c r="P4" s="82">
        <f t="shared" ref="P4:P11" si="4">N4-O4</f>
        <v>0</v>
      </c>
      <c r="Q4" s="7">
        <f t="shared" ref="Q4:R11" si="5">SUM(B4,E4,H4,K4,N4)</f>
        <v>6</v>
      </c>
      <c r="R4" s="11">
        <f t="shared" si="5"/>
        <v>6</v>
      </c>
      <c r="S4" s="13">
        <f t="shared" ref="S4:S12" si="6">R4/Q4</f>
        <v>1</v>
      </c>
      <c r="T4" s="7">
        <f t="shared" ref="T4:T11" si="7">Q4-R4</f>
        <v>0</v>
      </c>
      <c r="U4" s="9">
        <f t="shared" ref="U4:U12" si="8">T4/Q4</f>
        <v>0</v>
      </c>
    </row>
    <row r="5" spans="1:21" x14ac:dyDescent="0.25">
      <c r="A5" s="1" t="s">
        <v>11</v>
      </c>
      <c r="B5" s="41"/>
      <c r="C5" s="42">
        <f t="shared" ref="C5:C10" si="9">ROUND(B5*0.5, 0)</f>
        <v>0</v>
      </c>
      <c r="D5" s="49">
        <f t="shared" si="0"/>
        <v>0</v>
      </c>
      <c r="E5" s="57">
        <v>1</v>
      </c>
      <c r="F5" s="37">
        <f t="shared" ref="F5:F11" si="10">ROUND(E5*0.5, 0)</f>
        <v>1</v>
      </c>
      <c r="G5" s="58">
        <f t="shared" si="1"/>
        <v>0</v>
      </c>
      <c r="H5" s="66"/>
      <c r="I5" s="34">
        <f t="shared" ref="I5:I11" si="11">ROUND(H5*0.5, 0)</f>
        <v>0</v>
      </c>
      <c r="J5" s="67">
        <f t="shared" si="2"/>
        <v>0</v>
      </c>
      <c r="K5" s="75">
        <v>2</v>
      </c>
      <c r="L5" s="31">
        <f t="shared" ref="L5:L11" si="12">ROUND(K5*0.5, 0)</f>
        <v>1</v>
      </c>
      <c r="M5" s="76">
        <f t="shared" si="3"/>
        <v>1</v>
      </c>
      <c r="N5" s="81"/>
      <c r="O5" s="28">
        <f t="shared" ref="O5:O11" si="13">ROUND(N5*0.5, 0)</f>
        <v>0</v>
      </c>
      <c r="P5" s="83">
        <f t="shared" si="4"/>
        <v>0</v>
      </c>
      <c r="Q5" s="7">
        <f t="shared" si="5"/>
        <v>3</v>
      </c>
      <c r="R5" s="11">
        <f t="shared" si="5"/>
        <v>2</v>
      </c>
      <c r="S5" s="13">
        <f t="shared" si="6"/>
        <v>0.66666666666666663</v>
      </c>
      <c r="T5" s="7">
        <f t="shared" si="7"/>
        <v>1</v>
      </c>
      <c r="U5" s="9">
        <f t="shared" si="8"/>
        <v>0.33333333333333331</v>
      </c>
    </row>
    <row r="6" spans="1:21" x14ac:dyDescent="0.25">
      <c r="A6" s="1" t="s">
        <v>12</v>
      </c>
      <c r="B6" s="41">
        <v>1</v>
      </c>
      <c r="C6" s="42">
        <f t="shared" si="9"/>
        <v>1</v>
      </c>
      <c r="D6" s="49">
        <f t="shared" si="0"/>
        <v>0</v>
      </c>
      <c r="E6" s="57">
        <v>1</v>
      </c>
      <c r="F6" s="37">
        <f t="shared" si="10"/>
        <v>1</v>
      </c>
      <c r="G6" s="58">
        <f t="shared" si="1"/>
        <v>0</v>
      </c>
      <c r="H6" s="66">
        <v>2</v>
      </c>
      <c r="I6" s="34">
        <f t="shared" si="11"/>
        <v>1</v>
      </c>
      <c r="J6" s="67">
        <f t="shared" si="2"/>
        <v>1</v>
      </c>
      <c r="K6" s="75">
        <v>2</v>
      </c>
      <c r="L6" s="31">
        <f t="shared" si="12"/>
        <v>1</v>
      </c>
      <c r="M6" s="76">
        <f t="shared" si="3"/>
        <v>1</v>
      </c>
      <c r="N6" s="81"/>
      <c r="O6" s="28">
        <f t="shared" si="13"/>
        <v>0</v>
      </c>
      <c r="P6" s="83">
        <f t="shared" si="4"/>
        <v>0</v>
      </c>
      <c r="Q6" s="7">
        <f t="shared" si="5"/>
        <v>6</v>
      </c>
      <c r="R6" s="11">
        <f t="shared" si="5"/>
        <v>4</v>
      </c>
      <c r="S6" s="13">
        <f t="shared" si="6"/>
        <v>0.66666666666666663</v>
      </c>
      <c r="T6" s="7">
        <f t="shared" si="7"/>
        <v>2</v>
      </c>
      <c r="U6" s="9">
        <f t="shared" si="8"/>
        <v>0.33333333333333331</v>
      </c>
    </row>
    <row r="7" spans="1:21" x14ac:dyDescent="0.25">
      <c r="A7" s="1" t="s">
        <v>13</v>
      </c>
      <c r="B7" s="41"/>
      <c r="C7" s="42">
        <f t="shared" si="9"/>
        <v>0</v>
      </c>
      <c r="D7" s="49">
        <f t="shared" si="0"/>
        <v>0</v>
      </c>
      <c r="E7" s="57">
        <v>3</v>
      </c>
      <c r="F7" s="37">
        <f t="shared" si="10"/>
        <v>2</v>
      </c>
      <c r="G7" s="58">
        <f t="shared" si="1"/>
        <v>1</v>
      </c>
      <c r="H7" s="66">
        <v>3</v>
      </c>
      <c r="I7" s="34">
        <f t="shared" si="11"/>
        <v>2</v>
      </c>
      <c r="J7" s="67">
        <f t="shared" si="2"/>
        <v>1</v>
      </c>
      <c r="K7" s="75">
        <v>4</v>
      </c>
      <c r="L7" s="31">
        <f t="shared" si="12"/>
        <v>2</v>
      </c>
      <c r="M7" s="76">
        <f t="shared" si="3"/>
        <v>2</v>
      </c>
      <c r="N7" s="81"/>
      <c r="O7" s="28">
        <f t="shared" si="13"/>
        <v>0</v>
      </c>
      <c r="P7" s="83">
        <f t="shared" si="4"/>
        <v>0</v>
      </c>
      <c r="Q7" s="7">
        <f t="shared" si="5"/>
        <v>10</v>
      </c>
      <c r="R7" s="11">
        <f t="shared" si="5"/>
        <v>6</v>
      </c>
      <c r="S7" s="13">
        <f t="shared" si="6"/>
        <v>0.6</v>
      </c>
      <c r="T7" s="7">
        <f t="shared" si="7"/>
        <v>4</v>
      </c>
      <c r="U7" s="9">
        <f t="shared" si="8"/>
        <v>0.4</v>
      </c>
    </row>
    <row r="8" spans="1:21" x14ac:dyDescent="0.25">
      <c r="A8" s="1" t="s">
        <v>14</v>
      </c>
      <c r="B8" s="41">
        <v>1</v>
      </c>
      <c r="C8" s="42">
        <f t="shared" si="9"/>
        <v>1</v>
      </c>
      <c r="D8" s="49">
        <f t="shared" si="0"/>
        <v>0</v>
      </c>
      <c r="E8" s="57">
        <v>3</v>
      </c>
      <c r="F8" s="37">
        <f t="shared" si="10"/>
        <v>2</v>
      </c>
      <c r="G8" s="58">
        <f t="shared" si="1"/>
        <v>1</v>
      </c>
      <c r="H8" s="66">
        <v>2</v>
      </c>
      <c r="I8" s="34">
        <f t="shared" si="11"/>
        <v>1</v>
      </c>
      <c r="J8" s="67">
        <f t="shared" si="2"/>
        <v>1</v>
      </c>
      <c r="K8" s="75">
        <v>3</v>
      </c>
      <c r="L8" s="31">
        <f t="shared" si="12"/>
        <v>2</v>
      </c>
      <c r="M8" s="76">
        <f t="shared" si="3"/>
        <v>1</v>
      </c>
      <c r="N8" s="81"/>
      <c r="O8" s="28">
        <f t="shared" si="13"/>
        <v>0</v>
      </c>
      <c r="P8" s="83">
        <f t="shared" si="4"/>
        <v>0</v>
      </c>
      <c r="Q8" s="7">
        <f t="shared" si="5"/>
        <v>9</v>
      </c>
      <c r="R8" s="11">
        <f t="shared" si="5"/>
        <v>6</v>
      </c>
      <c r="S8" s="13">
        <f t="shared" si="6"/>
        <v>0.66666666666666663</v>
      </c>
      <c r="T8" s="7">
        <f t="shared" si="7"/>
        <v>3</v>
      </c>
      <c r="U8" s="9">
        <f t="shared" si="8"/>
        <v>0.33333333333333331</v>
      </c>
    </row>
    <row r="9" spans="1:21" x14ac:dyDescent="0.25">
      <c r="A9" s="1" t="s">
        <v>15</v>
      </c>
      <c r="B9" s="41">
        <v>1</v>
      </c>
      <c r="C9" s="42">
        <f t="shared" si="9"/>
        <v>1</v>
      </c>
      <c r="D9" s="49">
        <f t="shared" si="0"/>
        <v>0</v>
      </c>
      <c r="E9" s="57">
        <v>1</v>
      </c>
      <c r="F9" s="37">
        <f t="shared" si="10"/>
        <v>1</v>
      </c>
      <c r="G9" s="58">
        <f t="shared" si="1"/>
        <v>0</v>
      </c>
      <c r="H9" s="66">
        <v>1</v>
      </c>
      <c r="I9" s="34">
        <f t="shared" si="11"/>
        <v>1</v>
      </c>
      <c r="J9" s="67">
        <f t="shared" si="2"/>
        <v>0</v>
      </c>
      <c r="K9" s="75">
        <v>4</v>
      </c>
      <c r="L9" s="31">
        <f t="shared" si="12"/>
        <v>2</v>
      </c>
      <c r="M9" s="76">
        <f t="shared" si="3"/>
        <v>2</v>
      </c>
      <c r="N9" s="81"/>
      <c r="O9" s="28">
        <f t="shared" si="13"/>
        <v>0</v>
      </c>
      <c r="P9" s="83">
        <f t="shared" si="4"/>
        <v>0</v>
      </c>
      <c r="Q9" s="7">
        <f t="shared" si="5"/>
        <v>7</v>
      </c>
      <c r="R9" s="11">
        <f t="shared" si="5"/>
        <v>5</v>
      </c>
      <c r="S9" s="13">
        <f t="shared" si="6"/>
        <v>0.7142857142857143</v>
      </c>
      <c r="T9" s="7">
        <f t="shared" si="7"/>
        <v>2</v>
      </c>
      <c r="U9" s="9">
        <f t="shared" si="8"/>
        <v>0.2857142857142857</v>
      </c>
    </row>
    <row r="10" spans="1:21" x14ac:dyDescent="0.25">
      <c r="A10" s="1" t="s">
        <v>16</v>
      </c>
      <c r="B10" s="41">
        <v>1</v>
      </c>
      <c r="C10" s="42">
        <f t="shared" si="9"/>
        <v>1</v>
      </c>
      <c r="D10" s="49">
        <f t="shared" si="0"/>
        <v>0</v>
      </c>
      <c r="E10" s="57">
        <v>1</v>
      </c>
      <c r="F10" s="37">
        <f t="shared" si="10"/>
        <v>1</v>
      </c>
      <c r="G10" s="58">
        <f t="shared" si="1"/>
        <v>0</v>
      </c>
      <c r="H10" s="66">
        <v>2</v>
      </c>
      <c r="I10" s="34">
        <f t="shared" si="11"/>
        <v>1</v>
      </c>
      <c r="J10" s="67">
        <f t="shared" si="2"/>
        <v>1</v>
      </c>
      <c r="K10" s="75">
        <v>2</v>
      </c>
      <c r="L10" s="31">
        <f t="shared" si="12"/>
        <v>1</v>
      </c>
      <c r="M10" s="76">
        <f t="shared" si="3"/>
        <v>1</v>
      </c>
      <c r="N10" s="81"/>
      <c r="O10" s="28">
        <f t="shared" si="13"/>
        <v>0</v>
      </c>
      <c r="P10" s="83">
        <f t="shared" si="4"/>
        <v>0</v>
      </c>
      <c r="Q10" s="7">
        <f t="shared" si="5"/>
        <v>6</v>
      </c>
      <c r="R10" s="11">
        <f t="shared" si="5"/>
        <v>4</v>
      </c>
      <c r="S10" s="13">
        <f t="shared" si="6"/>
        <v>0.66666666666666663</v>
      </c>
      <c r="T10" s="7">
        <f t="shared" si="7"/>
        <v>2</v>
      </c>
      <c r="U10" s="9">
        <f t="shared" si="8"/>
        <v>0.33333333333333331</v>
      </c>
    </row>
    <row r="11" spans="1:21" ht="15.75" customHeight="1" thickBot="1" x14ac:dyDescent="0.3">
      <c r="A11" s="1" t="s">
        <v>17</v>
      </c>
      <c r="B11" s="43"/>
      <c r="C11" s="44">
        <f>B11</f>
        <v>0</v>
      </c>
      <c r="D11" s="50">
        <f t="shared" si="0"/>
        <v>0</v>
      </c>
      <c r="E11" s="59"/>
      <c r="F11" s="38">
        <f t="shared" si="10"/>
        <v>0</v>
      </c>
      <c r="G11" s="60">
        <f t="shared" si="1"/>
        <v>0</v>
      </c>
      <c r="H11" s="68"/>
      <c r="I11" s="35">
        <f t="shared" si="11"/>
        <v>0</v>
      </c>
      <c r="J11" s="69">
        <f t="shared" si="2"/>
        <v>0</v>
      </c>
      <c r="K11" s="77"/>
      <c r="L11" s="32">
        <f t="shared" si="12"/>
        <v>0</v>
      </c>
      <c r="M11" s="78">
        <f t="shared" si="3"/>
        <v>0</v>
      </c>
      <c r="N11" s="87"/>
      <c r="O11" s="29">
        <f t="shared" si="13"/>
        <v>0</v>
      </c>
      <c r="P11" s="84">
        <f t="shared" si="4"/>
        <v>0</v>
      </c>
      <c r="Q11" s="8">
        <f t="shared" si="5"/>
        <v>0</v>
      </c>
      <c r="R11" s="12">
        <f t="shared" si="5"/>
        <v>0</v>
      </c>
      <c r="S11" s="14" t="e">
        <f t="shared" si="6"/>
        <v>#DIV/0!</v>
      </c>
      <c r="T11" s="8">
        <f t="shared" si="7"/>
        <v>0</v>
      </c>
      <c r="U11" s="10" t="e">
        <f t="shared" si="8"/>
        <v>#DIV/0!</v>
      </c>
    </row>
    <row r="12" spans="1:21" ht="15.75" customHeight="1" thickBot="1" x14ac:dyDescent="0.3">
      <c r="C12" s="18">
        <f>SUM(C4:C11)/SUM($B$4:$B$11)</f>
        <v>1</v>
      </c>
      <c r="D12" s="51">
        <f>SUM(D4:D11)/SUM($B$4:$B$11)</f>
        <v>0</v>
      </c>
      <c r="F12" s="20">
        <f>SUM(F4:F11)/SUM(E4:E11)</f>
        <v>0.83333333333333337</v>
      </c>
      <c r="G12" s="19">
        <f>SUM(G4:G11)/SUM(E4:E11)</f>
        <v>0.16666666666666666</v>
      </c>
      <c r="I12" s="22">
        <f>SUM(I4:I11)/SUM(H4:H11)</f>
        <v>0.63636363636363635</v>
      </c>
      <c r="J12" s="21">
        <f>SUM(J4:J11)/SUM(H4:H11)</f>
        <v>0.36363636363636365</v>
      </c>
      <c r="L12" s="23">
        <f>SUM(L4:L11)/SUM(K4:K11)</f>
        <v>0.6</v>
      </c>
      <c r="M12" s="24">
        <f>SUM(M4:M11)/SUM(K4:K11)</f>
        <v>0.4</v>
      </c>
      <c r="O12" s="25" t="e">
        <f>SUM(O4:O11)/SUM(N4:N11)</f>
        <v>#DIV/0!</v>
      </c>
      <c r="P12" s="26" t="e">
        <f>SUM(P4:P11)/SUM(N4:N11)</f>
        <v>#DIV/0!</v>
      </c>
      <c r="Q12" s="7">
        <f>SUM(Q4:Q11)</f>
        <v>47</v>
      </c>
      <c r="R12" s="16">
        <f>SUM(R4:R11)</f>
        <v>33</v>
      </c>
      <c r="S12" s="15">
        <f t="shared" si="6"/>
        <v>0.7021276595744681</v>
      </c>
      <c r="T12" s="7">
        <f>SUM(T4:T11)</f>
        <v>14</v>
      </c>
      <c r="U12" s="9">
        <f t="shared" si="8"/>
        <v>0.2978723404255319</v>
      </c>
    </row>
    <row r="13" spans="1:21" x14ac:dyDescent="0.25">
      <c r="A13" s="1"/>
      <c r="B13" s="3"/>
      <c r="C13" s="85">
        <f>SUM(C4:C11)</f>
        <v>4</v>
      </c>
      <c r="D13" s="85">
        <f>SUM(D4:D11)</f>
        <v>0</v>
      </c>
      <c r="E13" s="86"/>
      <c r="F13" s="85">
        <f>SUM(F4:F11)</f>
        <v>10</v>
      </c>
      <c r="G13" s="85">
        <f>SUM(G4:G11)</f>
        <v>2</v>
      </c>
      <c r="H13" s="86"/>
      <c r="I13" s="85">
        <f>SUM(I4:I11)</f>
        <v>7</v>
      </c>
      <c r="J13" s="85">
        <f>SUM(J4:J11)</f>
        <v>4</v>
      </c>
      <c r="K13" s="86"/>
      <c r="L13" s="85">
        <f>SUM(L4:L11)</f>
        <v>12</v>
      </c>
      <c r="M13" s="85">
        <f>SUM(M4:M11)</f>
        <v>8</v>
      </c>
      <c r="N13" s="86"/>
      <c r="O13" s="85">
        <f>SUM(O4:O11)</f>
        <v>0</v>
      </c>
      <c r="P13" s="85">
        <f>SUM(P4:P11)</f>
        <v>0</v>
      </c>
    </row>
    <row r="14" spans="1:21" x14ac:dyDescent="0.25">
      <c r="B14" s="2"/>
    </row>
    <row r="15" spans="1:21" x14ac:dyDescent="0.25">
      <c r="A15" s="92"/>
      <c r="B15" s="114" t="s">
        <v>0</v>
      </c>
      <c r="C15" s="115"/>
      <c r="D15" s="115"/>
      <c r="E15" s="116"/>
      <c r="F15" s="117" t="s">
        <v>1</v>
      </c>
      <c r="G15" s="117"/>
      <c r="H15" s="117"/>
      <c r="I15" s="118"/>
      <c r="J15" s="119" t="s">
        <v>2</v>
      </c>
      <c r="K15" s="119"/>
      <c r="L15" s="119"/>
      <c r="M15" s="120"/>
      <c r="N15" s="121" t="s">
        <v>3</v>
      </c>
      <c r="O15" s="121"/>
      <c r="P15" s="121"/>
      <c r="Q15" s="122"/>
      <c r="R15" s="123" t="s">
        <v>4</v>
      </c>
      <c r="S15" s="123"/>
      <c r="T15" s="123"/>
      <c r="U15" s="124"/>
    </row>
    <row r="16" spans="1:21" x14ac:dyDescent="0.25">
      <c r="A16" s="92"/>
      <c r="B16" s="173" t="s">
        <v>5</v>
      </c>
      <c r="C16" s="125" t="s">
        <v>28</v>
      </c>
      <c r="D16" s="125" t="s">
        <v>8</v>
      </c>
      <c r="E16" s="109" t="s">
        <v>27</v>
      </c>
      <c r="F16" s="174" t="s">
        <v>5</v>
      </c>
      <c r="G16" s="126" t="s">
        <v>28</v>
      </c>
      <c r="H16" s="126" t="s">
        <v>8</v>
      </c>
      <c r="I16" s="110" t="s">
        <v>27</v>
      </c>
      <c r="J16" s="175" t="s">
        <v>5</v>
      </c>
      <c r="K16" s="127" t="s">
        <v>28</v>
      </c>
      <c r="L16" s="127" t="s">
        <v>8</v>
      </c>
      <c r="M16" s="111" t="s">
        <v>27</v>
      </c>
      <c r="N16" s="176" t="s">
        <v>5</v>
      </c>
      <c r="O16" s="128" t="s">
        <v>28</v>
      </c>
      <c r="P16" s="128" t="s">
        <v>8</v>
      </c>
      <c r="Q16" s="112" t="s">
        <v>27</v>
      </c>
      <c r="R16" s="177" t="s">
        <v>5</v>
      </c>
      <c r="S16" s="129" t="s">
        <v>28</v>
      </c>
      <c r="T16" s="129" t="s">
        <v>8</v>
      </c>
      <c r="U16" s="113" t="s">
        <v>27</v>
      </c>
    </row>
    <row r="17" spans="1:21" x14ac:dyDescent="0.25">
      <c r="A17" s="108" t="s">
        <v>10</v>
      </c>
      <c r="B17" s="158"/>
      <c r="C17" s="130">
        <f t="shared" ref="C17:C18" si="14">ROUNDUP(B17*0.5, 0)</f>
        <v>0</v>
      </c>
      <c r="D17" s="130">
        <f t="shared" ref="D17:D18" si="15">ROUND((B17-C17)*0.5, 0)</f>
        <v>0</v>
      </c>
      <c r="E17" s="131">
        <f t="shared" ref="E17:E24" si="16">B17-C17-D17</f>
        <v>0</v>
      </c>
      <c r="F17" s="161">
        <v>2</v>
      </c>
      <c r="G17" s="132">
        <f t="shared" ref="G17:G18" si="17">ROUNDUP(F17*0.5, 0)</f>
        <v>1</v>
      </c>
      <c r="H17" s="132">
        <f t="shared" ref="H17:H18" si="18">ROUND((F17-G17)*0.5, 0)</f>
        <v>1</v>
      </c>
      <c r="I17" s="133">
        <f t="shared" ref="I17:I18" si="19">F17-G17-H17</f>
        <v>0</v>
      </c>
      <c r="J17" s="164">
        <v>1</v>
      </c>
      <c r="K17" s="134">
        <f t="shared" ref="K17:K18" si="20">ROUNDUP(J17*0.5, 0)</f>
        <v>1</v>
      </c>
      <c r="L17" s="134">
        <f t="shared" ref="L17:L18" si="21">ROUND((J17-K17)*0.5, 0)</f>
        <v>0</v>
      </c>
      <c r="M17" s="135">
        <f t="shared" ref="M17:M18" si="22">J17-K17-L17</f>
        <v>0</v>
      </c>
      <c r="N17" s="167">
        <v>3</v>
      </c>
      <c r="O17" s="136">
        <f t="shared" ref="O17:O18" si="23">ROUNDUP(N17*0.5, 0)</f>
        <v>2</v>
      </c>
      <c r="P17" s="136">
        <f t="shared" ref="P17:P18" si="24">ROUND((N17-O17)*0.5, 0)</f>
        <v>1</v>
      </c>
      <c r="Q17" s="137">
        <f t="shared" ref="Q17:Q18" si="25">N17-O17-P17</f>
        <v>0</v>
      </c>
      <c r="R17" s="170">
        <v>2</v>
      </c>
      <c r="S17" s="138">
        <f t="shared" ref="S17:S18" si="26">ROUNDUP(R17*0.5, 0)</f>
        <v>1</v>
      </c>
      <c r="T17" s="138">
        <f t="shared" ref="T17:T18" si="27">ROUND((R17-S17)*0.5, 0)</f>
        <v>1</v>
      </c>
      <c r="U17" s="139">
        <f t="shared" ref="U17:U18" si="28">R17-S17-T17</f>
        <v>0</v>
      </c>
    </row>
    <row r="18" spans="1:21" x14ac:dyDescent="0.25">
      <c r="A18" s="108" t="s">
        <v>11</v>
      </c>
      <c r="B18" s="159"/>
      <c r="C18" s="140">
        <f t="shared" si="14"/>
        <v>0</v>
      </c>
      <c r="D18" s="140">
        <f t="shared" si="15"/>
        <v>0</v>
      </c>
      <c r="E18" s="141">
        <f t="shared" si="16"/>
        <v>0</v>
      </c>
      <c r="F18" s="162">
        <v>1</v>
      </c>
      <c r="G18" s="142">
        <f t="shared" si="17"/>
        <v>1</v>
      </c>
      <c r="H18" s="142">
        <f t="shared" si="18"/>
        <v>0</v>
      </c>
      <c r="I18" s="143">
        <f t="shared" si="19"/>
        <v>0</v>
      </c>
      <c r="J18" s="165"/>
      <c r="K18" s="144">
        <f t="shared" si="20"/>
        <v>0</v>
      </c>
      <c r="L18" s="144">
        <f t="shared" si="21"/>
        <v>0</v>
      </c>
      <c r="M18" s="145">
        <f t="shared" si="22"/>
        <v>0</v>
      </c>
      <c r="N18" s="168">
        <v>2</v>
      </c>
      <c r="O18" s="146">
        <f t="shared" si="23"/>
        <v>1</v>
      </c>
      <c r="P18" s="146">
        <f t="shared" si="24"/>
        <v>1</v>
      </c>
      <c r="Q18" s="147">
        <f t="shared" si="25"/>
        <v>0</v>
      </c>
      <c r="R18" s="171">
        <v>5</v>
      </c>
      <c r="S18" s="148">
        <f t="shared" si="26"/>
        <v>3</v>
      </c>
      <c r="T18" s="148">
        <f t="shared" si="27"/>
        <v>1</v>
      </c>
      <c r="U18" s="149">
        <f t="shared" si="28"/>
        <v>1</v>
      </c>
    </row>
    <row r="19" spans="1:21" x14ac:dyDescent="0.25">
      <c r="A19" s="108" t="s">
        <v>12</v>
      </c>
      <c r="B19" s="159">
        <v>1</v>
      </c>
      <c r="C19" s="140">
        <f>ROUNDUP(B19*0.5, 0)</f>
        <v>1</v>
      </c>
      <c r="D19" s="140">
        <f>ROUND((B19-C19)*0.5, 0)</f>
        <v>0</v>
      </c>
      <c r="E19" s="141">
        <f>B19-C19-D19</f>
        <v>0</v>
      </c>
      <c r="F19" s="162">
        <v>1</v>
      </c>
      <c r="G19" s="142">
        <f>ROUNDUP(F19*0.5, 0)</f>
        <v>1</v>
      </c>
      <c r="H19" s="142">
        <f>ROUND((F19-G19)*0.5, 0)</f>
        <v>0</v>
      </c>
      <c r="I19" s="143">
        <f>F19-G19-H19</f>
        <v>0</v>
      </c>
      <c r="J19" s="165">
        <v>2</v>
      </c>
      <c r="K19" s="144">
        <f>ROUNDUP(J19*0.5, 0)</f>
        <v>1</v>
      </c>
      <c r="L19" s="144">
        <f>ROUND((J19-K19)*0.5, 0)</f>
        <v>1</v>
      </c>
      <c r="M19" s="145">
        <f>J19-K19-L19</f>
        <v>0</v>
      </c>
      <c r="N19" s="168">
        <v>2</v>
      </c>
      <c r="O19" s="146">
        <f>ROUNDUP(N19*0.5, 0)</f>
        <v>1</v>
      </c>
      <c r="P19" s="146">
        <f>ROUND((N19-O19)*0.5, 0)</f>
        <v>1</v>
      </c>
      <c r="Q19" s="147">
        <f>N19-O19-P19</f>
        <v>0</v>
      </c>
      <c r="R19" s="171">
        <v>3</v>
      </c>
      <c r="S19" s="148">
        <f>ROUNDUP(R19*0.5, 0)</f>
        <v>2</v>
      </c>
      <c r="T19" s="148">
        <f>ROUND((R19-S19)*0.5, 0)</f>
        <v>1</v>
      </c>
      <c r="U19" s="149">
        <f>R19-S19-T19</f>
        <v>0</v>
      </c>
    </row>
    <row r="20" spans="1:21" x14ac:dyDescent="0.25">
      <c r="A20" s="108" t="s">
        <v>13</v>
      </c>
      <c r="B20" s="159"/>
      <c r="C20" s="140">
        <f t="shared" ref="C20:C24" si="29">ROUNDUP(B20*0.5, 0)</f>
        <v>0</v>
      </c>
      <c r="D20" s="140">
        <f t="shared" ref="D20:D24" si="30">ROUND((B20-C20)*0.5, 0)</f>
        <v>0</v>
      </c>
      <c r="E20" s="141">
        <f t="shared" si="16"/>
        <v>0</v>
      </c>
      <c r="F20" s="162">
        <v>3</v>
      </c>
      <c r="G20" s="142">
        <f t="shared" ref="G20:G24" si="31">ROUNDUP(F20*0.5, 0)</f>
        <v>2</v>
      </c>
      <c r="H20" s="142">
        <f t="shared" ref="H20:H24" si="32">ROUND((F20-G20)*0.5, 0)</f>
        <v>1</v>
      </c>
      <c r="I20" s="143">
        <f t="shared" ref="I20:I24" si="33">F20-G20-H20</f>
        <v>0</v>
      </c>
      <c r="J20" s="165">
        <v>3</v>
      </c>
      <c r="K20" s="144">
        <f t="shared" ref="K20:K24" si="34">ROUNDUP(J20*0.5, 0)</f>
        <v>2</v>
      </c>
      <c r="L20" s="144">
        <f t="shared" ref="L20:L24" si="35">ROUND((J20-K20)*0.5, 0)</f>
        <v>1</v>
      </c>
      <c r="M20" s="145">
        <f t="shared" ref="M20:M24" si="36">J20-K20-L20</f>
        <v>0</v>
      </c>
      <c r="N20" s="168">
        <v>4</v>
      </c>
      <c r="O20" s="146">
        <f t="shared" ref="O20:O24" si="37">ROUNDUP(N20*0.5, 0)</f>
        <v>2</v>
      </c>
      <c r="P20" s="146">
        <f t="shared" ref="P20:P24" si="38">ROUND((N20-O20)*0.5, 0)</f>
        <v>1</v>
      </c>
      <c r="Q20" s="147">
        <f t="shared" ref="Q20:Q24" si="39">N20-O20-P20</f>
        <v>1</v>
      </c>
      <c r="R20" s="171">
        <v>4</v>
      </c>
      <c r="S20" s="148">
        <f t="shared" ref="S20:S24" si="40">ROUNDUP(R20*0.5, 0)</f>
        <v>2</v>
      </c>
      <c r="T20" s="148">
        <f t="shared" ref="T20:T24" si="41">ROUND((R20-S20)*0.5, 0)</f>
        <v>1</v>
      </c>
      <c r="U20" s="149">
        <f t="shared" ref="U20:U24" si="42">R20-S20-T20</f>
        <v>1</v>
      </c>
    </row>
    <row r="21" spans="1:21" x14ac:dyDescent="0.25">
      <c r="A21" s="108" t="s">
        <v>14</v>
      </c>
      <c r="B21" s="159">
        <v>1</v>
      </c>
      <c r="C21" s="140">
        <f t="shared" si="29"/>
        <v>1</v>
      </c>
      <c r="D21" s="140">
        <f t="shared" si="30"/>
        <v>0</v>
      </c>
      <c r="E21" s="141">
        <f t="shared" si="16"/>
        <v>0</v>
      </c>
      <c r="F21" s="162">
        <v>3</v>
      </c>
      <c r="G21" s="142">
        <f t="shared" si="31"/>
        <v>2</v>
      </c>
      <c r="H21" s="142">
        <f t="shared" si="32"/>
        <v>1</v>
      </c>
      <c r="I21" s="143">
        <f t="shared" si="33"/>
        <v>0</v>
      </c>
      <c r="J21" s="165">
        <v>2</v>
      </c>
      <c r="K21" s="144">
        <f t="shared" si="34"/>
        <v>1</v>
      </c>
      <c r="L21" s="144">
        <f t="shared" si="35"/>
        <v>1</v>
      </c>
      <c r="M21" s="145">
        <f t="shared" si="36"/>
        <v>0</v>
      </c>
      <c r="N21" s="168">
        <v>3</v>
      </c>
      <c r="O21" s="146">
        <f t="shared" si="37"/>
        <v>2</v>
      </c>
      <c r="P21" s="146">
        <f t="shared" si="38"/>
        <v>1</v>
      </c>
      <c r="Q21" s="147">
        <f t="shared" si="39"/>
        <v>0</v>
      </c>
      <c r="R21" s="171">
        <v>5</v>
      </c>
      <c r="S21" s="148">
        <f t="shared" si="40"/>
        <v>3</v>
      </c>
      <c r="T21" s="148">
        <f t="shared" si="41"/>
        <v>1</v>
      </c>
      <c r="U21" s="149">
        <f t="shared" si="42"/>
        <v>1</v>
      </c>
    </row>
    <row r="22" spans="1:21" x14ac:dyDescent="0.25">
      <c r="A22" s="108" t="s">
        <v>15</v>
      </c>
      <c r="B22" s="159">
        <v>1</v>
      </c>
      <c r="C22" s="140">
        <f t="shared" si="29"/>
        <v>1</v>
      </c>
      <c r="D22" s="140">
        <f t="shared" si="30"/>
        <v>0</v>
      </c>
      <c r="E22" s="141">
        <f t="shared" si="16"/>
        <v>0</v>
      </c>
      <c r="F22" s="162">
        <v>1</v>
      </c>
      <c r="G22" s="142">
        <f t="shared" si="31"/>
        <v>1</v>
      </c>
      <c r="H22" s="142">
        <f t="shared" si="32"/>
        <v>0</v>
      </c>
      <c r="I22" s="143">
        <f t="shared" si="33"/>
        <v>0</v>
      </c>
      <c r="J22" s="165">
        <v>1</v>
      </c>
      <c r="K22" s="144">
        <f t="shared" si="34"/>
        <v>1</v>
      </c>
      <c r="L22" s="144">
        <f t="shared" si="35"/>
        <v>0</v>
      </c>
      <c r="M22" s="145">
        <f t="shared" si="36"/>
        <v>0</v>
      </c>
      <c r="N22" s="168">
        <v>4</v>
      </c>
      <c r="O22" s="146">
        <f t="shared" si="37"/>
        <v>2</v>
      </c>
      <c r="P22" s="146">
        <f t="shared" si="38"/>
        <v>1</v>
      </c>
      <c r="Q22" s="147">
        <f t="shared" si="39"/>
        <v>1</v>
      </c>
      <c r="R22" s="171">
        <v>3</v>
      </c>
      <c r="S22" s="148">
        <f t="shared" si="40"/>
        <v>2</v>
      </c>
      <c r="T22" s="148">
        <f t="shared" si="41"/>
        <v>1</v>
      </c>
      <c r="U22" s="149">
        <f t="shared" si="42"/>
        <v>0</v>
      </c>
    </row>
    <row r="23" spans="1:21" x14ac:dyDescent="0.25">
      <c r="A23" s="108" t="s">
        <v>16</v>
      </c>
      <c r="B23" s="159">
        <v>1</v>
      </c>
      <c r="C23" s="140">
        <f t="shared" si="29"/>
        <v>1</v>
      </c>
      <c r="D23" s="140">
        <f t="shared" si="30"/>
        <v>0</v>
      </c>
      <c r="E23" s="141">
        <f t="shared" si="16"/>
        <v>0</v>
      </c>
      <c r="F23" s="162">
        <v>1</v>
      </c>
      <c r="G23" s="142">
        <f t="shared" si="31"/>
        <v>1</v>
      </c>
      <c r="H23" s="142">
        <f t="shared" si="32"/>
        <v>0</v>
      </c>
      <c r="I23" s="143">
        <f t="shared" si="33"/>
        <v>0</v>
      </c>
      <c r="J23" s="165">
        <v>2</v>
      </c>
      <c r="K23" s="144">
        <f t="shared" si="34"/>
        <v>1</v>
      </c>
      <c r="L23" s="144">
        <f t="shared" si="35"/>
        <v>1</v>
      </c>
      <c r="M23" s="145">
        <f t="shared" si="36"/>
        <v>0</v>
      </c>
      <c r="N23" s="168">
        <v>2</v>
      </c>
      <c r="O23" s="146">
        <f t="shared" si="37"/>
        <v>1</v>
      </c>
      <c r="P23" s="146">
        <f t="shared" si="38"/>
        <v>1</v>
      </c>
      <c r="Q23" s="147">
        <f t="shared" si="39"/>
        <v>0</v>
      </c>
      <c r="R23" s="171">
        <v>4</v>
      </c>
      <c r="S23" s="148">
        <f t="shared" si="40"/>
        <v>2</v>
      </c>
      <c r="T23" s="148">
        <f t="shared" si="41"/>
        <v>1</v>
      </c>
      <c r="U23" s="149">
        <f t="shared" si="42"/>
        <v>1</v>
      </c>
    </row>
    <row r="24" spans="1:21" x14ac:dyDescent="0.25">
      <c r="A24" s="108" t="s">
        <v>17</v>
      </c>
      <c r="B24" s="160"/>
      <c r="C24" s="150">
        <f t="shared" si="29"/>
        <v>0</v>
      </c>
      <c r="D24" s="150">
        <f t="shared" si="30"/>
        <v>0</v>
      </c>
      <c r="E24" s="151">
        <f t="shared" si="16"/>
        <v>0</v>
      </c>
      <c r="F24" s="163"/>
      <c r="G24" s="182">
        <f t="shared" si="31"/>
        <v>0</v>
      </c>
      <c r="H24" s="182">
        <f t="shared" si="32"/>
        <v>0</v>
      </c>
      <c r="I24" s="183">
        <f t="shared" si="33"/>
        <v>0</v>
      </c>
      <c r="J24" s="166"/>
      <c r="K24" s="152">
        <f t="shared" si="34"/>
        <v>0</v>
      </c>
      <c r="L24" s="152">
        <f t="shared" si="35"/>
        <v>0</v>
      </c>
      <c r="M24" s="153">
        <f t="shared" si="36"/>
        <v>0</v>
      </c>
      <c r="N24" s="169"/>
      <c r="O24" s="154">
        <f t="shared" si="37"/>
        <v>0</v>
      </c>
      <c r="P24" s="154">
        <f t="shared" si="38"/>
        <v>0</v>
      </c>
      <c r="Q24" s="155">
        <f t="shared" si="39"/>
        <v>0</v>
      </c>
      <c r="R24" s="172"/>
      <c r="S24" s="156">
        <f t="shared" si="40"/>
        <v>0</v>
      </c>
      <c r="T24" s="156">
        <f t="shared" si="41"/>
        <v>0</v>
      </c>
      <c r="U24" s="157">
        <f t="shared" si="42"/>
        <v>0</v>
      </c>
    </row>
    <row r="25" spans="1:21" x14ac:dyDescent="0.25">
      <c r="C25" s="178">
        <f>SUM(C17:C24)/SUM($B$17:$B$24)</f>
        <v>1</v>
      </c>
      <c r="D25" s="179">
        <f>SUM(D17:D24)/SUM($B$17:$B$24)</f>
        <v>0</v>
      </c>
      <c r="E25" s="180">
        <f>SUM(E17:E24)/SUM($B$17:$B$24)</f>
        <v>0</v>
      </c>
      <c r="G25" s="181">
        <f>SUM(G17:G24)/SUM($F$17:$F$24)</f>
        <v>0.75</v>
      </c>
      <c r="H25" s="184">
        <f t="shared" ref="H25:I25" si="43">SUM(H17:H24)/SUM($F$17:$F$24)</f>
        <v>0.25</v>
      </c>
      <c r="I25" s="185">
        <f t="shared" si="43"/>
        <v>0</v>
      </c>
      <c r="K25" s="186">
        <f>SUM(K17:K24)/SUM(J17:J24)</f>
        <v>0.63636363636363635</v>
      </c>
      <c r="L25" s="187">
        <f>SUM(L17:L24)/SUM(J17:J24)</f>
        <v>0.36363636363636365</v>
      </c>
      <c r="M25" s="188">
        <f>SUM(M17:M24)/SUM(J17:J24)</f>
        <v>0</v>
      </c>
      <c r="O25" s="189">
        <f>SUM(O17:O24)/SUM(N17:N24)</f>
        <v>0.55000000000000004</v>
      </c>
      <c r="P25" s="190">
        <f>SUM(P17:P24)/SUM(N17:N24)</f>
        <v>0.35</v>
      </c>
      <c r="Q25" s="191">
        <f>SUM(Q17:Q24)/SUM(N17:N24)</f>
        <v>0.1</v>
      </c>
      <c r="S25" s="192">
        <f>SUM(S17:S24)/SUM(R17:R24)</f>
        <v>0.57692307692307687</v>
      </c>
      <c r="T25" s="193">
        <f>SUM(T17:T24)/SUM(R17:R24)</f>
        <v>0.26923076923076922</v>
      </c>
      <c r="U25" s="194">
        <f>SUM(U17:U24)/SUM(R17:R24)</f>
        <v>0.15384615384615385</v>
      </c>
    </row>
    <row r="30" spans="1:21" x14ac:dyDescent="0.25">
      <c r="B30" s="7" t="s">
        <v>26</v>
      </c>
      <c r="C30" s="7" t="s">
        <v>5</v>
      </c>
      <c r="D30" s="107" t="s">
        <v>29</v>
      </c>
      <c r="E30" s="7" t="s">
        <v>0</v>
      </c>
      <c r="F30" s="7" t="s">
        <v>1</v>
      </c>
      <c r="G30" s="7" t="s">
        <v>2</v>
      </c>
      <c r="H30" s="7" t="s">
        <v>3</v>
      </c>
      <c r="I30" s="7" t="s">
        <v>4</v>
      </c>
    </row>
    <row r="31" spans="1:21" x14ac:dyDescent="0.25">
      <c r="A31" s="108" t="s">
        <v>10</v>
      </c>
      <c r="B31" s="7">
        <v>3</v>
      </c>
      <c r="C31" s="7">
        <f>SUM(B17,F17,J17,N17,R17)</f>
        <v>8</v>
      </c>
      <c r="D31" s="107">
        <f>C31-B31</f>
        <v>5</v>
      </c>
      <c r="E31" s="7">
        <f>C17</f>
        <v>0</v>
      </c>
      <c r="F31" s="7">
        <f>F17</f>
        <v>2</v>
      </c>
      <c r="G31" s="7">
        <f>J17</f>
        <v>1</v>
      </c>
      <c r="H31" s="195">
        <f>N17</f>
        <v>3</v>
      </c>
      <c r="I31" s="195">
        <f>R17</f>
        <v>2</v>
      </c>
    </row>
    <row r="32" spans="1:21" x14ac:dyDescent="0.25">
      <c r="A32" s="108" t="s">
        <v>11</v>
      </c>
      <c r="B32" s="7">
        <v>3</v>
      </c>
      <c r="C32" s="7">
        <f>SUM(B18,F18,J18,N18,R18)</f>
        <v>8</v>
      </c>
      <c r="D32" s="107">
        <f t="shared" ref="D32:D38" si="44">C32-B32</f>
        <v>5</v>
      </c>
      <c r="E32" s="7">
        <f>C18</f>
        <v>0</v>
      </c>
      <c r="F32" s="7">
        <f>F18</f>
        <v>1</v>
      </c>
      <c r="G32" s="7">
        <f>J18</f>
        <v>0</v>
      </c>
      <c r="H32" s="7">
        <f>N18</f>
        <v>2</v>
      </c>
      <c r="I32" s="195">
        <f>R18</f>
        <v>5</v>
      </c>
    </row>
    <row r="33" spans="1:9" x14ac:dyDescent="0.25">
      <c r="A33" s="108" t="s">
        <v>12</v>
      </c>
      <c r="B33" s="7">
        <v>6</v>
      </c>
      <c r="C33" s="7">
        <f>SUM(B19,F19,J19,N19,R19)</f>
        <v>9</v>
      </c>
      <c r="D33" s="107">
        <f t="shared" si="44"/>
        <v>3</v>
      </c>
      <c r="E33" s="7">
        <f>C19</f>
        <v>1</v>
      </c>
      <c r="F33" s="7">
        <f>F19</f>
        <v>1</v>
      </c>
      <c r="G33" s="7">
        <f>J19</f>
        <v>2</v>
      </c>
      <c r="H33" s="7">
        <f>N19</f>
        <v>2</v>
      </c>
      <c r="I33" s="195">
        <f>R19</f>
        <v>3</v>
      </c>
    </row>
    <row r="34" spans="1:9" x14ac:dyDescent="0.25">
      <c r="A34" s="108" t="s">
        <v>13</v>
      </c>
      <c r="B34" s="7">
        <v>10</v>
      </c>
      <c r="C34" s="7">
        <f>SUM(B20,F20,J20,N20,R20)</f>
        <v>14</v>
      </c>
      <c r="D34" s="107">
        <f t="shared" si="44"/>
        <v>4</v>
      </c>
      <c r="E34" s="7">
        <f>C20</f>
        <v>0</v>
      </c>
      <c r="F34" s="7">
        <f>F20</f>
        <v>3</v>
      </c>
      <c r="G34" s="7">
        <f>J20</f>
        <v>3</v>
      </c>
      <c r="H34" s="7">
        <f>N20</f>
        <v>4</v>
      </c>
      <c r="I34" s="195">
        <f>R20</f>
        <v>4</v>
      </c>
    </row>
    <row r="35" spans="1:9" x14ac:dyDescent="0.25">
      <c r="A35" s="108" t="s">
        <v>14</v>
      </c>
      <c r="B35" s="7">
        <v>5</v>
      </c>
      <c r="C35" s="7">
        <f>SUM(B21,F21,J21,N21,R21)</f>
        <v>14</v>
      </c>
      <c r="D35" s="107">
        <f t="shared" si="44"/>
        <v>9</v>
      </c>
      <c r="E35" s="195">
        <f>C21</f>
        <v>1</v>
      </c>
      <c r="F35" s="7">
        <f>F21</f>
        <v>3</v>
      </c>
      <c r="G35" s="7">
        <f>J21</f>
        <v>2</v>
      </c>
      <c r="H35" s="195">
        <f>N21</f>
        <v>3</v>
      </c>
      <c r="I35" s="195">
        <f>R21</f>
        <v>5</v>
      </c>
    </row>
    <row r="36" spans="1:9" x14ac:dyDescent="0.25">
      <c r="A36" s="108" t="s">
        <v>15</v>
      </c>
      <c r="B36" s="7">
        <v>4</v>
      </c>
      <c r="C36" s="7">
        <f>SUM(B22,F22,J22,N22,R22)</f>
        <v>10</v>
      </c>
      <c r="D36" s="107">
        <f t="shared" si="44"/>
        <v>6</v>
      </c>
      <c r="E36" s="195">
        <f>C22</f>
        <v>1</v>
      </c>
      <c r="F36" s="195">
        <f>F22</f>
        <v>1</v>
      </c>
      <c r="G36" s="195">
        <f>J22</f>
        <v>1</v>
      </c>
      <c r="H36" s="7">
        <f>N22</f>
        <v>4</v>
      </c>
      <c r="I36" s="195">
        <f>R22</f>
        <v>3</v>
      </c>
    </row>
    <row r="37" spans="1:9" x14ac:dyDescent="0.25">
      <c r="A37" s="108" t="s">
        <v>16</v>
      </c>
      <c r="B37" s="7">
        <v>6</v>
      </c>
      <c r="C37" s="7">
        <f>SUM(B23,F23,J23,N23,R23)</f>
        <v>10</v>
      </c>
      <c r="D37" s="107">
        <f t="shared" si="44"/>
        <v>4</v>
      </c>
      <c r="E37" s="195">
        <f>C23</f>
        <v>1</v>
      </c>
      <c r="F37" s="195">
        <f>F23</f>
        <v>1</v>
      </c>
      <c r="G37" s="195">
        <f>J23</f>
        <v>2</v>
      </c>
      <c r="H37" s="7">
        <f>N23</f>
        <v>2</v>
      </c>
      <c r="I37" s="7">
        <f>R23</f>
        <v>4</v>
      </c>
    </row>
    <row r="38" spans="1:9" x14ac:dyDescent="0.25">
      <c r="A38" s="108" t="s">
        <v>17</v>
      </c>
      <c r="B38" s="7"/>
      <c r="C38" s="7">
        <f>SUM(B24,F24,J24,N24,R24)</f>
        <v>0</v>
      </c>
      <c r="D38" s="107">
        <f t="shared" si="44"/>
        <v>0</v>
      </c>
      <c r="E38" s="7">
        <f>C24</f>
        <v>0</v>
      </c>
      <c r="F38" s="7">
        <f>F24</f>
        <v>0</v>
      </c>
      <c r="G38" s="7">
        <f>J24</f>
        <v>0</v>
      </c>
      <c r="H38" s="7">
        <f>N24</f>
        <v>0</v>
      </c>
      <c r="I38" s="7">
        <f>R24</f>
        <v>0</v>
      </c>
    </row>
  </sheetData>
  <mergeCells count="13">
    <mergeCell ref="B15:E15"/>
    <mergeCell ref="F15:I15"/>
    <mergeCell ref="J15:M15"/>
    <mergeCell ref="N15:Q15"/>
    <mergeCell ref="R15:U15"/>
    <mergeCell ref="B2:D2"/>
    <mergeCell ref="E2:G2"/>
    <mergeCell ref="K2:M2"/>
    <mergeCell ref="N2:P2"/>
    <mergeCell ref="T2:U3"/>
    <mergeCell ref="R2:S3"/>
    <mergeCell ref="Q2:Q3"/>
    <mergeCell ref="H2:J2"/>
  </mergeCells>
  <pageMargins left="0.7" right="0.7" top="0.75" bottom="0.75" header="0.3" footer="0.3"/>
  <pageSetup scale="62" fitToHeight="0" orientation="landscape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pageSetUpPr fitToPage="1"/>
  </sheetPr>
  <dimension ref="A1:I9"/>
  <sheetViews>
    <sheetView workbookViewId="0">
      <selection activeCell="H5" sqref="H5"/>
    </sheetView>
  </sheetViews>
  <sheetFormatPr defaultRowHeight="15" x14ac:dyDescent="0.25"/>
  <cols>
    <col min="1" max="1" width="15" bestFit="1" customWidth="1"/>
    <col min="2" max="2" width="20.7109375" style="1" bestFit="1" customWidth="1"/>
    <col min="3" max="3" width="16" style="4" customWidth="1"/>
    <col min="4" max="4" width="16" style="4" hidden="1" customWidth="1"/>
    <col min="5" max="5" width="17.42578125" style="4" bestFit="1" customWidth="1"/>
    <col min="6" max="6" width="17.42578125" style="4" customWidth="1"/>
    <col min="7" max="7" width="11" customWidth="1"/>
    <col min="8" max="8" width="6" customWidth="1"/>
    <col min="9" max="9" width="21.42578125" bestFit="1" customWidth="1"/>
  </cols>
  <sheetData>
    <row r="1" spans="1:9" x14ac:dyDescent="0.25">
      <c r="A1" s="88" t="s">
        <v>18</v>
      </c>
      <c r="C1" s="89" t="s">
        <v>19</v>
      </c>
      <c r="D1" s="89"/>
      <c r="E1" s="89" t="s">
        <v>20</v>
      </c>
      <c r="F1" s="89"/>
      <c r="G1" s="106" t="s">
        <v>21</v>
      </c>
      <c r="H1" s="99"/>
      <c r="I1" s="90" t="s">
        <v>22</v>
      </c>
    </row>
    <row r="2" spans="1:9" x14ac:dyDescent="0.25">
      <c r="A2" s="91">
        <v>46229</v>
      </c>
      <c r="B2" s="1" t="s">
        <v>13</v>
      </c>
      <c r="C2" s="5">
        <v>25.99</v>
      </c>
      <c r="D2" s="5"/>
      <c r="E2" s="5">
        <v>25.35</v>
      </c>
      <c r="F2" s="5"/>
      <c r="G2" s="6">
        <v>21.16</v>
      </c>
      <c r="H2" s="7">
        <v>97931</v>
      </c>
      <c r="I2" s="6">
        <f t="shared" ref="I2:I8" si="0">G2 - MIN(C2:E2)</f>
        <v>-4.1900000000000013</v>
      </c>
    </row>
    <row r="3" spans="1:9" x14ac:dyDescent="0.25">
      <c r="B3" s="1" t="s">
        <v>23</v>
      </c>
      <c r="C3" s="5">
        <v>12.9</v>
      </c>
      <c r="D3" s="5"/>
      <c r="E3" s="5">
        <v>13.22</v>
      </c>
      <c r="F3" s="5"/>
      <c r="G3" s="6">
        <v>10.87</v>
      </c>
      <c r="H3" s="7">
        <v>97923</v>
      </c>
      <c r="I3" s="6">
        <f t="shared" si="0"/>
        <v>-2.0300000000000011</v>
      </c>
    </row>
    <row r="4" spans="1:9" x14ac:dyDescent="0.25">
      <c r="B4" s="1" t="s">
        <v>24</v>
      </c>
      <c r="C4" s="5">
        <v>14.57</v>
      </c>
      <c r="D4" s="5"/>
      <c r="E4" s="5">
        <v>14.23</v>
      </c>
      <c r="F4" s="5"/>
      <c r="G4" s="6">
        <v>11.16</v>
      </c>
      <c r="H4" s="7">
        <v>97920</v>
      </c>
      <c r="I4" s="6">
        <f t="shared" si="0"/>
        <v>-3.0700000000000003</v>
      </c>
    </row>
    <row r="5" spans="1:9" x14ac:dyDescent="0.25">
      <c r="B5" s="1" t="s">
        <v>25</v>
      </c>
      <c r="C5" s="5">
        <v>12.9</v>
      </c>
      <c r="D5" s="5"/>
      <c r="E5" s="5">
        <v>13</v>
      </c>
      <c r="F5" s="5"/>
      <c r="G5" s="6">
        <v>10.87</v>
      </c>
      <c r="H5" s="7">
        <v>97924</v>
      </c>
      <c r="I5" s="6">
        <f t="shared" si="0"/>
        <v>-2.0300000000000011</v>
      </c>
    </row>
    <row r="6" spans="1:9" x14ac:dyDescent="0.25">
      <c r="B6" s="1" t="s">
        <v>12</v>
      </c>
      <c r="C6" s="5">
        <v>11.49</v>
      </c>
      <c r="D6" s="5"/>
      <c r="E6" s="5">
        <v>10.42</v>
      </c>
      <c r="F6" s="5"/>
      <c r="G6" s="6">
        <v>6.58</v>
      </c>
      <c r="H6" s="7">
        <v>97928</v>
      </c>
      <c r="I6" s="6">
        <f t="shared" si="0"/>
        <v>-3.84</v>
      </c>
    </row>
    <row r="7" spans="1:9" x14ac:dyDescent="0.25">
      <c r="B7" s="1" t="s">
        <v>16</v>
      </c>
      <c r="C7" s="5">
        <v>11.31</v>
      </c>
      <c r="D7" s="5"/>
      <c r="E7" s="5">
        <v>10.94</v>
      </c>
      <c r="F7" s="5"/>
      <c r="G7" s="6">
        <v>7.31</v>
      </c>
      <c r="H7" s="7">
        <v>97929</v>
      </c>
      <c r="I7" s="6">
        <f t="shared" si="0"/>
        <v>-3.63</v>
      </c>
    </row>
    <row r="8" spans="1:9" x14ac:dyDescent="0.25">
      <c r="B8" s="1" t="s">
        <v>10</v>
      </c>
      <c r="C8" s="5"/>
      <c r="D8" s="5"/>
      <c r="E8" s="5">
        <v>13.6</v>
      </c>
      <c r="F8" s="5"/>
      <c r="G8" s="6">
        <v>10.87</v>
      </c>
      <c r="H8" s="7">
        <v>97918</v>
      </c>
      <c r="I8" s="6">
        <f t="shared" si="0"/>
        <v>-2.7300000000000004</v>
      </c>
    </row>
    <row r="9" spans="1:9" x14ac:dyDescent="0.25">
      <c r="G9" s="6"/>
    </row>
  </sheetData>
  <mergeCells count="1">
    <mergeCell ref="G1:H1"/>
  </mergeCells>
  <pageMargins left="0.7" right="0.7" top="0.75" bottom="0.75" header="0.3" footer="0.3"/>
  <pageSetup scale="77" fitToHeight="0" orientation="landscape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Natalies</vt:lpstr>
      <vt:lpstr>Prices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Purchasing</dc:creator>
  <cp:lastModifiedBy>Andrew Goldsmith</cp:lastModifiedBy>
  <cp:lastPrinted>2026-03-28T15:52:24Z</cp:lastPrinted>
  <dcterms:created xsi:type="dcterms:W3CDTF">2025-05-04T16:22:32Z</dcterms:created>
  <dcterms:modified xsi:type="dcterms:W3CDTF">2026-07-26T17:56:25Z</dcterms:modified>
</cp:coreProperties>
</file>